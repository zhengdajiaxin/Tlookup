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文件\零知识\"/>
    </mc:Choice>
  </mc:AlternateContent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<sst xmlns="http://schemas.openxmlformats.org/spreadsheetml/2006/main" count="164" uniqueCount="30">
  <si>
    <t>GPU</t>
  </si>
  <si>
    <t>cq</t>
  </si>
  <si>
    <t>CPU</t>
  </si>
  <si>
    <t>table_size     index_gen_ms  index_bytes</t>
  </si>
  <si>
    <t>run</t>
  </si>
  <si>
    <t>table_size</t>
  </si>
  <si>
    <t>query_size</t>
  </si>
  <si>
    <t>blowup</t>
  </si>
  <si>
    <t>preprocess_ms</t>
  </si>
  <si>
    <t>preprocess_s</t>
  </si>
  <si>
    <t>prove_ms</t>
  </si>
  <si>
    <t>prove_s</t>
  </si>
  <si>
    <t>total(ms)</t>
  </si>
  <si>
    <t>total(s)</t>
  </si>
  <si>
    <t>verify_ms</t>
  </si>
  <si>
    <t>preprocessing_bytes</t>
  </si>
  <si>
    <t>proof_bytes</t>
  </si>
  <si>
    <t>------------------------------------------</t>
  </si>
  <si>
    <t>32768             94763.430      6390018</t>
  </si>
  <si>
    <t>65536            201000.138     12779778</t>
  </si>
  <si>
    <t>table_size   witness_size   prove_ms  verify_ms  proof_bytes</t>
  </si>
  <si>
    <t>--------------------------------------------------------------</t>
  </si>
  <si>
    <t>table_preprocess_ms</t>
  </si>
  <si>
    <t>131072           425701.203     25559298</t>
  </si>
  <si>
    <t>witness_size</t>
  </si>
  <si>
    <t>-------------</t>
  </si>
  <si>
    <t>------------</t>
  </si>
  <si>
    <t>-----------</t>
  </si>
  <si>
    <t>---------------</t>
  </si>
  <si>
    <t>262144           896207.359     51118338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</si>
</sst>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1" applyNumberFormat="0" applyAlignment="0" applyProtection="0">
      <alignment vertical="center"/>
    </xf>
    <xf numFmtId="0" fontId="12" fillId="4" borderId="22" applyNumberFormat="0" applyAlignment="0" applyProtection="0">
      <alignment vertical="center"/>
    </xf>
    <xf numFmtId="0" fontId="13" fillId="4" borderId="21" applyNumberFormat="0" applyAlignment="0" applyProtection="0">
      <alignment vertical="center"/>
    </xf>
    <xf numFmtId="0" fontId="14" fillId="5" borderId="23" applyNumberFormat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61"/>
  <sheetViews>
    <sheetView tabSelected="1" zoomScale="80" zoomScaleNormal="80" topLeftCell="S1" workbookViewId="0">
      <selection activeCell="X8" sqref="X8"/>
    </sheetView>
  </sheetViews>
  <sheetFormatPr defaultColWidth="8.72727272727273" defaultRowHeight="14"/>
  <cols>
    <col min="1" max="1" width="24.9090909090909" customWidth="1"/>
    <col min="2" max="2" width="28.1818181818182" customWidth="1"/>
    <col min="3" max="3" width="24.7272727272727" customWidth="1"/>
    <col min="4" max="4" width="26.9090909090909" customWidth="1"/>
    <col min="5" max="5" width="22.5454545454545" customWidth="1"/>
    <col min="6" max="6" width="21.4545454545455" customWidth="1"/>
    <col min="7" max="8" width="21.2727272727273" customWidth="1"/>
    <col min="9" max="10" width="28.1818181818182" customWidth="1"/>
    <col min="11" max="11" width="16.2727272727273" customWidth="1"/>
    <col min="12" max="12" width="12.9090909090909" customWidth="1"/>
    <col min="14" max="15" width="20.3636363636364" customWidth="1"/>
    <col min="16" max="16" width="26.9090909090909" customWidth="1"/>
    <col min="17" max="20" width="24.8181818181818" customWidth="1"/>
    <col min="21" max="21" width="26.6363636363636" customWidth="1"/>
    <col min="22" max="22" width="28.2727272727273" customWidth="1"/>
    <col min="25" max="25" width="14.0909090909091" customWidth="1"/>
    <col min="26" max="26" width="10.5454545454545"/>
    <col min="28" max="28" width="16.0909090909091" customWidth="1"/>
    <col min="29" max="29" width="16.4545454545455" customWidth="1"/>
    <col min="30" max="30" width="10.5454545454545"/>
    <col min="31" max="32" width="16.3636363636364" customWidth="1"/>
    <col min="33" max="33" width="13.2727272727273" customWidth="1"/>
    <col min="34" max="34" width="10.5454545454545"/>
    <col min="35" max="35" width="11.7272727272727"/>
    <col min="42" max="42" width="9.54545454545454"/>
    <col min="44" max="45" width="9.54545454545454"/>
    <col min="46" max="46" width="10.5454545454545"/>
    <col min="47" max="47" width="9.54545454545454"/>
    <col min="48" max="48" width="10.5454545454545"/>
    <col min="49" max="49" width="9.54545454545454"/>
    <col min="50" max="50" width="11.7272727272727"/>
    <col min="51" max="52" width="9.54545454545454"/>
    <col min="53" max="54" width="10.5454545454545"/>
    <col min="56" max="56" width="10.5454545454545"/>
  </cols>
  <sheetData>
    <row r="1" ht="15.5" spans="1:37">
      <c r="A1" s="1"/>
    </row>
    <row r="2" spans="1:37">
      <c r="A2" s="2"/>
      <c r="B2" s="2"/>
      <c r="C2" s="2"/>
      <c r="D2" s="2"/>
      <c r="E2" s="2"/>
      <c r="F2" s="2"/>
      <c r="G2" s="2"/>
      <c r="H2" s="2"/>
      <c r="I2" s="2"/>
      <c r="J2" s="2"/>
      <c r="L2" s="2"/>
      <c r="M2" s="2"/>
      <c r="N2" s="2"/>
    </row>
    <row r="3" spans="1:37">
      <c r="A3" s="2"/>
      <c r="B3" s="2"/>
      <c r="C3" s="2"/>
      <c r="D3" s="2"/>
      <c r="E3" s="2"/>
      <c r="F3" s="2"/>
      <c r="G3" s="2"/>
      <c r="H3" s="2"/>
      <c r="I3" s="2"/>
      <c r="J3" s="2"/>
      <c r="L3" s="2"/>
      <c r="M3" s="2"/>
      <c r="N3" s="2"/>
    </row>
    <row r="4" spans="1:37">
      <c r="A4" s="2"/>
      <c r="B4" s="2"/>
      <c r="C4" s="2"/>
      <c r="D4" s="2"/>
      <c r="E4" s="2"/>
      <c r="F4" s="2"/>
      <c r="G4" s="2"/>
      <c r="H4" s="2"/>
      <c r="I4" s="2"/>
      <c r="J4" s="2"/>
      <c r="L4" s="2"/>
      <c r="M4" s="2"/>
      <c r="N4" s="2"/>
    </row>
    <row r="5" spans="1:37">
      <c r="A5" s="2"/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</row>
    <row r="6" spans="1:37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</row>
    <row r="7" ht="15.5" spans="1:37">
      <c r="A7" s="1"/>
    </row>
    <row r="12" spans="1:37">
      <c r="X12" t="s">
        <v>0</v>
      </c>
    </row>
    <row r="13" spans="1:37">
      <c r="X13" s="3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</row>
    <row r="14" spans="1:37">
      <c r="X14" s="6"/>
      <c r="AK14" s="7"/>
    </row>
    <row r="15" spans="1:37">
      <c r="X15" s="6"/>
      <c r="AK15" s="7"/>
    </row>
    <row r="16" spans="1:37">
      <c r="X16" s="6"/>
      <c r="AK16" s="7"/>
    </row>
    <row r="17" spans="1:37">
      <c r="A17" t="s">
        <v>1</v>
      </c>
      <c r="X17" s="6"/>
      <c r="AK17" s="7"/>
    </row>
    <row r="18" spans="1:37">
      <c r="J18" t="s">
        <v>2</v>
      </c>
      <c r="X18" s="8"/>
      <c r="Y18" s="8"/>
      <c r="AK18" s="7"/>
    </row>
    <row r="19" spans="1:37">
      <c r="A19" t="s">
        <v>3</v>
      </c>
      <c r="I19" s="9"/>
      <c r="J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  <c r="X19" s="6" t="s">
        <v>4</v>
      </c>
      <c r="Y19" t="s">
        <v>5</v>
      </c>
      <c r="Z19" t="s">
        <v>6</v>
      </c>
      <c r="AA19" t="s">
        <v>7</v>
      </c>
      <c r="AB19" t="s">
        <v>8</v>
      </c>
      <c r="AC19" t="s">
        <v>9</v>
      </c>
      <c r="AD19" t="s">
        <v>10</v>
      </c>
      <c r="AE19" t="s">
        <v>11</v>
      </c>
      <c r="AF19" t="s">
        <v>12</v>
      </c>
      <c r="AG19" t="s">
        <v>13</v>
      </c>
      <c r="AH19" t="s">
        <v>14</v>
      </c>
      <c r="AI19" t="s">
        <v>15</v>
      </c>
      <c r="AJ19" t="s">
        <v>16</v>
      </c>
      <c r="AK19" s="7"/>
    </row>
    <row r="20" spans="1:37">
      <c r="A20" t="s">
        <v>17</v>
      </c>
      <c r="I20" s="9"/>
      <c r="J20" s="13"/>
      <c r="K20" s="8"/>
      <c r="L20" s="8"/>
      <c r="M20" s="9"/>
      <c r="N20" s="9"/>
      <c r="O20" s="9"/>
      <c r="P20" s="9"/>
      <c r="Q20" s="9"/>
      <c r="R20" s="9"/>
      <c r="S20" s="9"/>
      <c r="T20" s="9"/>
      <c r="U20" s="9"/>
      <c r="V20" s="14"/>
      <c r="X20" s="6">
        <v>0</v>
      </c>
      <c r="Y20">
        <v>32768</v>
      </c>
      <c r="Z20">
        <v>64</v>
      </c>
      <c r="AA20">
        <v>4</v>
      </c>
      <c r="AB20" s="8">
        <v>92.797</v>
      </c>
      <c r="AC20">
        <f t="shared" ref="AC20:AC29" si="0">AB20/1000</f>
        <v>0.092797</v>
      </c>
      <c r="AD20" s="8">
        <v>277.278</v>
      </c>
      <c r="AE20">
        <f t="shared" ref="AE20:AE29" si="1">AD20/1000</f>
        <v>0.277278</v>
      </c>
      <c r="AF20">
        <f t="shared" ref="AF20:AF29" si="2">AB20+AD20</f>
        <v>370.075</v>
      </c>
      <c r="AG20">
        <f t="shared" ref="AG20:AG29" si="3">AC20+AE20</f>
        <v>0.370075</v>
      </c>
      <c r="AH20" s="8">
        <v>19.887</v>
      </c>
      <c r="AI20">
        <v>27998517</v>
      </c>
      <c r="AJ20">
        <v>3075128</v>
      </c>
      <c r="AK20" s="7"/>
    </row>
    <row r="21" spans="1:37">
      <c r="A21" t="s">
        <v>18</v>
      </c>
      <c r="I21" s="9"/>
      <c r="J21" s="1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4"/>
      <c r="X21" s="6">
        <v>1</v>
      </c>
      <c r="Y21">
        <v>32768</v>
      </c>
      <c r="Z21">
        <v>128</v>
      </c>
      <c r="AA21">
        <v>4</v>
      </c>
      <c r="AB21" s="8">
        <v>92.797</v>
      </c>
      <c r="AC21">
        <f t="shared" si="0"/>
        <v>0.092797</v>
      </c>
      <c r="AD21" s="8">
        <v>280.717</v>
      </c>
      <c r="AE21">
        <f t="shared" si="1"/>
        <v>0.280717</v>
      </c>
      <c r="AF21">
        <f t="shared" si="2"/>
        <v>373.514</v>
      </c>
      <c r="AG21">
        <f t="shared" si="3"/>
        <v>0.373514</v>
      </c>
      <c r="AH21" s="8">
        <v>21.573</v>
      </c>
      <c r="AI21">
        <v>28044669</v>
      </c>
      <c r="AJ21">
        <v>3216024</v>
      </c>
      <c r="AK21" s="7"/>
    </row>
    <row r="22" spans="1:37">
      <c r="I22" s="9"/>
      <c r="J22" s="13" t="s">
        <v>4</v>
      </c>
      <c r="K22" s="9" t="s">
        <v>5</v>
      </c>
      <c r="L22" s="9" t="s">
        <v>6</v>
      </c>
      <c r="M22" s="9" t="s">
        <v>7</v>
      </c>
      <c r="N22" s="9" t="s">
        <v>8</v>
      </c>
      <c r="O22" s="9" t="s">
        <v>9</v>
      </c>
      <c r="P22" s="9" t="s">
        <v>10</v>
      </c>
      <c r="Q22" s="9" t="s">
        <v>11</v>
      </c>
      <c r="R22" s="9" t="s">
        <v>12</v>
      </c>
      <c r="S22" s="9" t="s">
        <v>13</v>
      </c>
      <c r="T22" s="9" t="s">
        <v>14</v>
      </c>
      <c r="U22" s="9" t="s">
        <v>15</v>
      </c>
      <c r="V22" s="14" t="s">
        <v>16</v>
      </c>
      <c r="X22" s="6">
        <v>2</v>
      </c>
      <c r="Y22">
        <v>32768</v>
      </c>
      <c r="Z22">
        <v>256</v>
      </c>
      <c r="AA22">
        <v>4</v>
      </c>
      <c r="AB22" s="8">
        <v>92.797</v>
      </c>
      <c r="AC22">
        <f t="shared" si="0"/>
        <v>0.092797</v>
      </c>
      <c r="AD22" s="8">
        <v>281.981</v>
      </c>
      <c r="AE22">
        <f t="shared" si="1"/>
        <v>0.281981</v>
      </c>
      <c r="AF22">
        <f t="shared" si="2"/>
        <v>374.778</v>
      </c>
      <c r="AG22">
        <f t="shared" si="3"/>
        <v>0.374778</v>
      </c>
      <c r="AH22" s="8">
        <v>21.293</v>
      </c>
      <c r="AI22">
        <v>28136901</v>
      </c>
      <c r="AJ22">
        <v>3369208</v>
      </c>
      <c r="AK22" s="7"/>
    </row>
    <row r="23" spans="1:37">
      <c r="A23">
        <v>32768</v>
      </c>
      <c r="B23">
        <v>64</v>
      </c>
      <c r="C23">
        <v>16.749</v>
      </c>
      <c r="D23">
        <f>C23/1000</f>
        <v>0.016749</v>
      </c>
      <c r="E23">
        <v>1.979</v>
      </c>
      <c r="F23">
        <v>616</v>
      </c>
      <c r="G23">
        <f>C23+94763.43</f>
        <v>94780.179</v>
      </c>
      <c r="H23">
        <f>G23/1000</f>
        <v>94.780179</v>
      </c>
      <c r="I23" s="9"/>
      <c r="J23" s="13">
        <v>0</v>
      </c>
      <c r="K23" s="9">
        <v>32768</v>
      </c>
      <c r="L23" s="9">
        <v>64</v>
      </c>
      <c r="M23" s="9">
        <v>4</v>
      </c>
      <c r="N23" s="8">
        <v>141.223</v>
      </c>
      <c r="O23" s="9">
        <f t="shared" ref="O23:O32" si="4">N23/1000</f>
        <v>0.141223</v>
      </c>
      <c r="P23" s="8">
        <v>513.898</v>
      </c>
      <c r="Q23" s="9">
        <f t="shared" ref="Q23:Q32" si="5">P23/1000</f>
        <v>0.513898</v>
      </c>
      <c r="R23" s="9">
        <f t="shared" ref="R23:R32" si="6">N23+P23</f>
        <v>655.121</v>
      </c>
      <c r="S23" s="9">
        <f t="shared" ref="S23:S32" si="7">R23/1000</f>
        <v>0.655121</v>
      </c>
      <c r="T23" s="8">
        <v>20.787</v>
      </c>
      <c r="U23" s="9">
        <v>27998517</v>
      </c>
      <c r="V23" s="14">
        <v>3075128</v>
      </c>
      <c r="X23" s="6">
        <v>3</v>
      </c>
      <c r="Y23">
        <v>32768</v>
      </c>
      <c r="Z23">
        <v>512</v>
      </c>
      <c r="AA23">
        <v>4</v>
      </c>
      <c r="AB23" s="8">
        <v>92.797</v>
      </c>
      <c r="AC23">
        <f t="shared" si="0"/>
        <v>0.092797</v>
      </c>
      <c r="AD23" s="8">
        <v>288.16</v>
      </c>
      <c r="AE23">
        <f t="shared" si="1"/>
        <v>0.28816</v>
      </c>
      <c r="AF23">
        <f t="shared" si="2"/>
        <v>380.957</v>
      </c>
      <c r="AG23">
        <f t="shared" si="3"/>
        <v>0.380957</v>
      </c>
      <c r="AH23" s="8">
        <v>22.186</v>
      </c>
      <c r="AI23">
        <v>28321293</v>
      </c>
      <c r="AJ23">
        <v>3534680</v>
      </c>
      <c r="AK23" s="7"/>
    </row>
    <row r="24" spans="1:37">
      <c r="A24">
        <v>32768</v>
      </c>
      <c r="B24">
        <v>128</v>
      </c>
      <c r="C24">
        <v>30.605</v>
      </c>
      <c r="D24">
        <f t="shared" ref="D24:D49" si="8">C24/1000</f>
        <v>0.030605</v>
      </c>
      <c r="E24">
        <v>1.984</v>
      </c>
      <c r="F24">
        <v>616</v>
      </c>
      <c r="G24">
        <f t="shared" ref="G24:G32" si="9">C24+94763.43</f>
        <v>94794.035</v>
      </c>
      <c r="H24">
        <f t="shared" ref="H24:H32" si="10">G24/1000</f>
        <v>94.794035</v>
      </c>
      <c r="I24" s="9"/>
      <c r="J24" s="13">
        <v>1</v>
      </c>
      <c r="K24" s="9">
        <v>32768</v>
      </c>
      <c r="L24" s="9">
        <v>128</v>
      </c>
      <c r="M24" s="9">
        <v>4</v>
      </c>
      <c r="N24" s="8">
        <v>141.223</v>
      </c>
      <c r="O24" s="9">
        <f t="shared" si="4"/>
        <v>0.141223</v>
      </c>
      <c r="P24" s="8">
        <v>528.432</v>
      </c>
      <c r="Q24" s="9">
        <f t="shared" si="5"/>
        <v>0.528432</v>
      </c>
      <c r="R24" s="9">
        <f t="shared" si="6"/>
        <v>669.655</v>
      </c>
      <c r="S24" s="9">
        <f t="shared" si="7"/>
        <v>0.669655</v>
      </c>
      <c r="T24" s="8">
        <v>27.354</v>
      </c>
      <c r="U24" s="9">
        <v>28044669</v>
      </c>
      <c r="V24" s="14">
        <v>3216024</v>
      </c>
      <c r="X24" s="6">
        <v>4</v>
      </c>
      <c r="Y24">
        <v>32768</v>
      </c>
      <c r="Z24">
        <v>1024</v>
      </c>
      <c r="AA24">
        <v>4</v>
      </c>
      <c r="AB24" s="8">
        <v>92.797</v>
      </c>
      <c r="AC24">
        <f t="shared" si="0"/>
        <v>0.092797</v>
      </c>
      <c r="AD24" s="8">
        <v>294.195</v>
      </c>
      <c r="AE24">
        <f t="shared" si="1"/>
        <v>0.294195</v>
      </c>
      <c r="AF24">
        <f t="shared" si="2"/>
        <v>386.992</v>
      </c>
      <c r="AG24">
        <f t="shared" si="3"/>
        <v>0.386992</v>
      </c>
      <c r="AH24" s="8">
        <v>22.918</v>
      </c>
      <c r="AI24">
        <v>28690005</v>
      </c>
      <c r="AJ24">
        <v>3712440</v>
      </c>
      <c r="AK24" s="7"/>
    </row>
    <row r="25" spans="1:37">
      <c r="A25">
        <v>32768</v>
      </c>
      <c r="B25">
        <v>256</v>
      </c>
      <c r="C25">
        <v>58.518</v>
      </c>
      <c r="D25">
        <f t="shared" si="8"/>
        <v>0.058518</v>
      </c>
      <c r="E25">
        <v>1.952</v>
      </c>
      <c r="F25">
        <v>616</v>
      </c>
      <c r="G25">
        <f t="shared" si="9"/>
        <v>94821.948</v>
      </c>
      <c r="H25">
        <f t="shared" si="10"/>
        <v>94.821948</v>
      </c>
      <c r="I25" s="9"/>
      <c r="J25" s="13">
        <v>2</v>
      </c>
      <c r="K25" s="9">
        <v>32768</v>
      </c>
      <c r="L25" s="9">
        <v>256</v>
      </c>
      <c r="M25" s="9">
        <v>4</v>
      </c>
      <c r="N25" s="8">
        <v>141.223</v>
      </c>
      <c r="O25" s="9">
        <f t="shared" si="4"/>
        <v>0.141223</v>
      </c>
      <c r="P25" s="8">
        <v>597.524</v>
      </c>
      <c r="Q25" s="9">
        <f t="shared" si="5"/>
        <v>0.597524</v>
      </c>
      <c r="R25" s="9">
        <f t="shared" si="6"/>
        <v>738.747</v>
      </c>
      <c r="S25" s="9">
        <f t="shared" si="7"/>
        <v>0.738747</v>
      </c>
      <c r="T25" s="8">
        <v>28.043</v>
      </c>
      <c r="U25" s="9">
        <v>28136901</v>
      </c>
      <c r="V25" s="14">
        <v>3369208</v>
      </c>
      <c r="X25" s="6">
        <v>5</v>
      </c>
      <c r="Y25">
        <v>32768</v>
      </c>
      <c r="Z25">
        <v>2048</v>
      </c>
      <c r="AA25">
        <v>4</v>
      </c>
      <c r="AB25" s="8">
        <v>92.797</v>
      </c>
      <c r="AC25">
        <f t="shared" si="0"/>
        <v>0.092797</v>
      </c>
      <c r="AD25" s="8">
        <v>302.503</v>
      </c>
      <c r="AE25">
        <f t="shared" si="1"/>
        <v>0.302503</v>
      </c>
      <c r="AF25">
        <f t="shared" si="2"/>
        <v>395.3</v>
      </c>
      <c r="AG25">
        <f t="shared" si="3"/>
        <v>0.3953</v>
      </c>
      <c r="AH25" s="8">
        <v>23.908</v>
      </c>
      <c r="AI25">
        <v>29427357</v>
      </c>
      <c r="AJ25">
        <v>3902488</v>
      </c>
      <c r="AK25" s="7"/>
    </row>
    <row r="26" spans="1:37">
      <c r="A26">
        <v>32768</v>
      </c>
      <c r="B26">
        <v>512</v>
      </c>
      <c r="C26">
        <v>113.844</v>
      </c>
      <c r="D26">
        <f t="shared" si="8"/>
        <v>0.113844</v>
      </c>
      <c r="E26">
        <v>1.977</v>
      </c>
      <c r="F26">
        <v>616</v>
      </c>
      <c r="G26">
        <f t="shared" si="9"/>
        <v>94877.274</v>
      </c>
      <c r="H26">
        <f t="shared" si="10"/>
        <v>94.877274</v>
      </c>
      <c r="I26" s="9"/>
      <c r="J26" s="13">
        <v>3</v>
      </c>
      <c r="K26" s="9">
        <v>32768</v>
      </c>
      <c r="L26" s="9">
        <v>512</v>
      </c>
      <c r="M26" s="9">
        <v>4</v>
      </c>
      <c r="N26" s="8">
        <v>141.223</v>
      </c>
      <c r="O26" s="9">
        <f t="shared" si="4"/>
        <v>0.141223</v>
      </c>
      <c r="P26" s="8">
        <v>595.635</v>
      </c>
      <c r="Q26" s="9">
        <f t="shared" si="5"/>
        <v>0.595635</v>
      </c>
      <c r="R26" s="9">
        <f t="shared" si="6"/>
        <v>736.858</v>
      </c>
      <c r="S26" s="9">
        <f t="shared" si="7"/>
        <v>0.736858</v>
      </c>
      <c r="T26" s="8">
        <v>36.861</v>
      </c>
      <c r="U26" s="9">
        <v>28321293</v>
      </c>
      <c r="V26" s="14">
        <v>3534680</v>
      </c>
      <c r="X26" s="6">
        <v>6</v>
      </c>
      <c r="Y26">
        <v>32768</v>
      </c>
      <c r="Z26">
        <v>4096</v>
      </c>
      <c r="AA26">
        <v>4</v>
      </c>
      <c r="AB26" s="8">
        <v>92.797</v>
      </c>
      <c r="AC26">
        <f t="shared" si="0"/>
        <v>0.092797</v>
      </c>
      <c r="AD26" s="8">
        <v>314.054</v>
      </c>
      <c r="AE26">
        <f t="shared" si="1"/>
        <v>0.314054</v>
      </c>
      <c r="AF26">
        <f t="shared" si="2"/>
        <v>406.851</v>
      </c>
      <c r="AG26">
        <f t="shared" si="3"/>
        <v>0.406851</v>
      </c>
      <c r="AH26" s="8">
        <v>23.277</v>
      </c>
      <c r="AI26">
        <v>30901989</v>
      </c>
      <c r="AJ26">
        <v>4104824</v>
      </c>
      <c r="AK26" s="7"/>
    </row>
    <row r="27" spans="1:37">
      <c r="A27">
        <v>32768</v>
      </c>
      <c r="B27">
        <v>1024</v>
      </c>
      <c r="C27">
        <v>216.905</v>
      </c>
      <c r="D27">
        <f t="shared" si="8"/>
        <v>0.216905</v>
      </c>
      <c r="E27">
        <v>1.973</v>
      </c>
      <c r="F27">
        <v>616</v>
      </c>
      <c r="G27">
        <f t="shared" si="9"/>
        <v>94980.335</v>
      </c>
      <c r="H27">
        <f t="shared" si="10"/>
        <v>94.980335</v>
      </c>
      <c r="I27" s="9"/>
      <c r="J27" s="13">
        <v>4</v>
      </c>
      <c r="K27" s="9">
        <v>32768</v>
      </c>
      <c r="L27" s="9">
        <v>1024</v>
      </c>
      <c r="M27" s="9">
        <v>4</v>
      </c>
      <c r="N27" s="8">
        <v>141.223</v>
      </c>
      <c r="O27" s="9">
        <f t="shared" si="4"/>
        <v>0.141223</v>
      </c>
      <c r="P27" s="8">
        <v>609.292</v>
      </c>
      <c r="Q27" s="9">
        <f t="shared" si="5"/>
        <v>0.609292</v>
      </c>
      <c r="R27" s="9">
        <f t="shared" si="6"/>
        <v>750.515</v>
      </c>
      <c r="S27" s="9">
        <f t="shared" si="7"/>
        <v>0.750515</v>
      </c>
      <c r="T27" s="8">
        <v>23.51</v>
      </c>
      <c r="U27" s="9">
        <v>28690005</v>
      </c>
      <c r="V27" s="14">
        <v>3712440</v>
      </c>
      <c r="X27" s="6">
        <v>7</v>
      </c>
      <c r="Y27">
        <v>32768</v>
      </c>
      <c r="Z27">
        <v>8192</v>
      </c>
      <c r="AA27">
        <v>4</v>
      </c>
      <c r="AB27" s="8">
        <v>92.797</v>
      </c>
      <c r="AC27">
        <f t="shared" si="0"/>
        <v>0.092797</v>
      </c>
      <c r="AD27" s="8">
        <v>340.894</v>
      </c>
      <c r="AE27">
        <f t="shared" si="1"/>
        <v>0.340894</v>
      </c>
      <c r="AF27">
        <f t="shared" si="2"/>
        <v>433.691</v>
      </c>
      <c r="AG27">
        <f t="shared" si="3"/>
        <v>0.433691</v>
      </c>
      <c r="AH27" s="8">
        <v>23.774</v>
      </c>
      <c r="AI27">
        <v>33851181</v>
      </c>
      <c r="AJ27">
        <v>4319448</v>
      </c>
      <c r="AK27" s="7"/>
    </row>
    <row r="28" spans="1:37">
      <c r="A28">
        <v>32768</v>
      </c>
      <c r="B28">
        <v>2048</v>
      </c>
      <c r="C28">
        <v>427.111</v>
      </c>
      <c r="D28">
        <f t="shared" si="8"/>
        <v>0.427111</v>
      </c>
      <c r="E28">
        <v>1.98</v>
      </c>
      <c r="F28">
        <v>616</v>
      </c>
      <c r="G28">
        <f t="shared" si="9"/>
        <v>95190.541</v>
      </c>
      <c r="H28">
        <f t="shared" si="10"/>
        <v>95.190541</v>
      </c>
      <c r="I28" s="9"/>
      <c r="J28" s="13">
        <v>5</v>
      </c>
      <c r="K28" s="9">
        <v>32768</v>
      </c>
      <c r="L28" s="9">
        <v>2048</v>
      </c>
      <c r="M28" s="9">
        <v>4</v>
      </c>
      <c r="N28" s="8">
        <v>141.223</v>
      </c>
      <c r="O28" s="9">
        <f t="shared" si="4"/>
        <v>0.141223</v>
      </c>
      <c r="P28" s="8">
        <v>582.71</v>
      </c>
      <c r="Q28" s="9">
        <f t="shared" si="5"/>
        <v>0.58271</v>
      </c>
      <c r="R28" s="9">
        <f t="shared" si="6"/>
        <v>723.933</v>
      </c>
      <c r="S28" s="9">
        <f t="shared" si="7"/>
        <v>0.723933</v>
      </c>
      <c r="T28" s="8">
        <v>25.88</v>
      </c>
      <c r="U28" s="9">
        <v>29427357</v>
      </c>
      <c r="V28" s="14">
        <v>3902488</v>
      </c>
      <c r="X28" s="6">
        <v>8</v>
      </c>
      <c r="Y28">
        <v>32768</v>
      </c>
      <c r="Z28">
        <v>16384</v>
      </c>
      <c r="AA28">
        <v>4</v>
      </c>
      <c r="AB28" s="8">
        <v>92.797</v>
      </c>
      <c r="AC28">
        <f t="shared" si="0"/>
        <v>0.092797</v>
      </c>
      <c r="AD28" s="8">
        <v>398.754</v>
      </c>
      <c r="AE28">
        <f t="shared" si="1"/>
        <v>0.398754</v>
      </c>
      <c r="AF28">
        <f t="shared" si="2"/>
        <v>491.551</v>
      </c>
      <c r="AG28">
        <f t="shared" si="3"/>
        <v>0.491551</v>
      </c>
      <c r="AH28" s="8">
        <v>23.994</v>
      </c>
      <c r="AI28">
        <v>39749493</v>
      </c>
      <c r="AJ28">
        <v>4546360</v>
      </c>
      <c r="AK28" s="7"/>
    </row>
    <row r="29" spans="1:37">
      <c r="A29">
        <v>32768</v>
      </c>
      <c r="B29">
        <v>4096</v>
      </c>
      <c r="C29">
        <v>807.846</v>
      </c>
      <c r="D29">
        <f t="shared" si="8"/>
        <v>0.807846</v>
      </c>
      <c r="E29">
        <v>2.049</v>
      </c>
      <c r="F29">
        <v>616</v>
      </c>
      <c r="G29">
        <f t="shared" si="9"/>
        <v>95571.276</v>
      </c>
      <c r="H29">
        <f t="shared" si="10"/>
        <v>95.571276</v>
      </c>
      <c r="I29" s="9"/>
      <c r="J29" s="13">
        <v>6</v>
      </c>
      <c r="K29" s="9">
        <v>32768</v>
      </c>
      <c r="L29" s="9">
        <v>4096</v>
      </c>
      <c r="M29" s="9">
        <v>4</v>
      </c>
      <c r="N29" s="8">
        <v>141.223</v>
      </c>
      <c r="O29" s="9">
        <f t="shared" si="4"/>
        <v>0.141223</v>
      </c>
      <c r="P29" s="8">
        <v>599.416</v>
      </c>
      <c r="Q29" s="9">
        <f t="shared" si="5"/>
        <v>0.599416</v>
      </c>
      <c r="R29" s="9">
        <f t="shared" si="6"/>
        <v>740.639</v>
      </c>
      <c r="S29" s="9">
        <f t="shared" si="7"/>
        <v>0.740639</v>
      </c>
      <c r="T29" s="8">
        <v>31.404</v>
      </c>
      <c r="U29" s="9">
        <v>30901989</v>
      </c>
      <c r="V29" s="14">
        <v>4104824</v>
      </c>
      <c r="X29" s="6">
        <v>9</v>
      </c>
      <c r="Y29">
        <v>32768</v>
      </c>
      <c r="Z29">
        <v>32768</v>
      </c>
      <c r="AA29">
        <v>4</v>
      </c>
      <c r="AB29" s="8">
        <v>92.797</v>
      </c>
      <c r="AC29">
        <f t="shared" si="0"/>
        <v>0.092797</v>
      </c>
      <c r="AD29" s="8">
        <v>502.777</v>
      </c>
      <c r="AE29">
        <f t="shared" si="1"/>
        <v>0.502777</v>
      </c>
      <c r="AF29">
        <f t="shared" si="2"/>
        <v>595.574</v>
      </c>
      <c r="AG29">
        <f t="shared" si="3"/>
        <v>0.595574</v>
      </c>
      <c r="AH29" s="8">
        <v>26.782</v>
      </c>
      <c r="AI29">
        <v>51546045</v>
      </c>
      <c r="AJ29">
        <v>4785560</v>
      </c>
      <c r="AK29" s="7"/>
    </row>
    <row r="30" spans="1:37">
      <c r="A30">
        <v>32768</v>
      </c>
      <c r="B30">
        <v>8192</v>
      </c>
      <c r="C30">
        <v>1521.844</v>
      </c>
      <c r="D30">
        <f t="shared" si="8"/>
        <v>1.521844</v>
      </c>
      <c r="E30">
        <v>2.01</v>
      </c>
      <c r="F30">
        <v>616</v>
      </c>
      <c r="G30">
        <f t="shared" si="9"/>
        <v>96285.274</v>
      </c>
      <c r="H30">
        <f t="shared" si="10"/>
        <v>96.285274</v>
      </c>
      <c r="I30" s="9"/>
      <c r="J30" s="13">
        <v>7</v>
      </c>
      <c r="K30" s="9">
        <v>32768</v>
      </c>
      <c r="L30" s="9">
        <v>8192</v>
      </c>
      <c r="M30" s="9">
        <v>4</v>
      </c>
      <c r="N30" s="8">
        <v>141.223</v>
      </c>
      <c r="O30" s="9">
        <f t="shared" si="4"/>
        <v>0.141223</v>
      </c>
      <c r="P30" s="8">
        <v>607.533</v>
      </c>
      <c r="Q30" s="9">
        <f t="shared" si="5"/>
        <v>0.607533</v>
      </c>
      <c r="R30" s="9">
        <f t="shared" si="6"/>
        <v>748.756</v>
      </c>
      <c r="S30" s="9">
        <f t="shared" si="7"/>
        <v>0.748756</v>
      </c>
      <c r="T30" s="8">
        <v>22.855</v>
      </c>
      <c r="U30" s="9">
        <v>33851181</v>
      </c>
      <c r="V30" s="14">
        <v>4319448</v>
      </c>
      <c r="X30" s="6"/>
      <c r="AK30" s="7"/>
    </row>
    <row r="31" spans="1:37">
      <c r="A31">
        <v>32768</v>
      </c>
      <c r="B31">
        <v>16384</v>
      </c>
      <c r="C31">
        <v>2723.931</v>
      </c>
      <c r="D31">
        <f t="shared" si="8"/>
        <v>2.723931</v>
      </c>
      <c r="E31">
        <v>2.02</v>
      </c>
      <c r="F31">
        <v>616</v>
      </c>
      <c r="G31">
        <f t="shared" si="9"/>
        <v>97487.361</v>
      </c>
      <c r="H31">
        <f t="shared" si="10"/>
        <v>97.487361</v>
      </c>
      <c r="I31" s="9"/>
      <c r="J31" s="13">
        <v>8</v>
      </c>
      <c r="K31" s="9">
        <v>32768</v>
      </c>
      <c r="L31" s="9">
        <v>16384</v>
      </c>
      <c r="M31" s="9">
        <v>4</v>
      </c>
      <c r="N31" s="8">
        <v>141.223</v>
      </c>
      <c r="O31" s="9">
        <f t="shared" si="4"/>
        <v>0.141223</v>
      </c>
      <c r="P31" s="8">
        <v>593.902</v>
      </c>
      <c r="Q31" s="9">
        <f t="shared" si="5"/>
        <v>0.593902</v>
      </c>
      <c r="R31" s="9">
        <f t="shared" si="6"/>
        <v>735.125</v>
      </c>
      <c r="S31" s="9">
        <f t="shared" si="7"/>
        <v>0.735125</v>
      </c>
      <c r="T31" s="8">
        <v>28.443</v>
      </c>
      <c r="U31" s="9">
        <v>39749493</v>
      </c>
      <c r="V31" s="14">
        <v>4546360</v>
      </c>
      <c r="X31" s="6"/>
      <c r="AK31" s="7"/>
    </row>
    <row r="32" spans="1:37">
      <c r="A32">
        <v>32768</v>
      </c>
      <c r="B32">
        <v>32768</v>
      </c>
      <c r="C32">
        <v>4505.048</v>
      </c>
      <c r="D32">
        <f t="shared" si="8"/>
        <v>4.505048</v>
      </c>
      <c r="E32">
        <v>1.983</v>
      </c>
      <c r="G32">
        <f t="shared" si="9"/>
        <v>99268.478</v>
      </c>
      <c r="H32">
        <f t="shared" si="10"/>
        <v>99.268478</v>
      </c>
      <c r="I32" s="9"/>
      <c r="J32" s="13">
        <v>9</v>
      </c>
      <c r="K32" s="9">
        <v>32768</v>
      </c>
      <c r="L32" s="9">
        <v>32768</v>
      </c>
      <c r="M32" s="9">
        <v>4</v>
      </c>
      <c r="N32" s="8">
        <v>141.223</v>
      </c>
      <c r="O32" s="9">
        <f t="shared" si="4"/>
        <v>0.141223</v>
      </c>
      <c r="P32" s="8">
        <v>662.199</v>
      </c>
      <c r="Q32" s="9">
        <f t="shared" si="5"/>
        <v>0.662199</v>
      </c>
      <c r="R32" s="9">
        <f t="shared" si="6"/>
        <v>803.422</v>
      </c>
      <c r="S32" s="9">
        <f t="shared" si="7"/>
        <v>0.803422</v>
      </c>
      <c r="T32" s="8">
        <v>26.883</v>
      </c>
      <c r="U32" s="9">
        <v>51546045</v>
      </c>
      <c r="V32" s="14">
        <v>4785560</v>
      </c>
      <c r="X32" s="6"/>
      <c r="AK32" s="7"/>
    </row>
    <row r="33" spans="1:37">
      <c r="A33" t="s">
        <v>3</v>
      </c>
      <c r="I33" s="9"/>
      <c r="J33" s="1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4"/>
      <c r="X33" s="6"/>
      <c r="AK33" s="7"/>
    </row>
    <row r="34" spans="1:37">
      <c r="A34" t="s">
        <v>17</v>
      </c>
      <c r="I34" s="9"/>
      <c r="J34" s="1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4"/>
      <c r="X34" s="6"/>
      <c r="AK34" s="7"/>
    </row>
    <row r="35" spans="1:37">
      <c r="A35" t="s">
        <v>19</v>
      </c>
      <c r="I35" s="9"/>
      <c r="J35" s="1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4"/>
      <c r="X35" s="6"/>
      <c r="AK35" s="7"/>
    </row>
    <row r="36" spans="1:37">
      <c r="I36" s="9"/>
      <c r="J36" s="1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4"/>
      <c r="X36" s="6"/>
      <c r="AK36" s="7"/>
    </row>
    <row r="37" spans="1:37">
      <c r="A37" t="s">
        <v>20</v>
      </c>
      <c r="I37" s="9"/>
      <c r="J37" s="1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4"/>
      <c r="X37" s="6"/>
      <c r="AK37" s="7"/>
    </row>
    <row r="38" spans="1:37">
      <c r="A38" t="s">
        <v>21</v>
      </c>
      <c r="I38" s="9"/>
      <c r="J38" s="13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4"/>
      <c r="X38" s="6"/>
      <c r="AK38" s="7"/>
    </row>
    <row r="39" spans="1:37">
      <c r="A39">
        <v>65536</v>
      </c>
      <c r="B39">
        <v>64</v>
      </c>
      <c r="C39">
        <v>16.741</v>
      </c>
      <c r="D39">
        <f t="shared" si="8"/>
        <v>0.016741</v>
      </c>
      <c r="E39">
        <v>1.993</v>
      </c>
      <c r="F39">
        <v>616</v>
      </c>
      <c r="G39">
        <f>C39+201000</f>
        <v>201016.741</v>
      </c>
      <c r="H39">
        <f>G39/1000</f>
        <v>201.016741</v>
      </c>
      <c r="I39" s="9"/>
      <c r="J39" s="13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4"/>
      <c r="X39" s="6"/>
      <c r="AK39" s="7"/>
    </row>
    <row r="40" spans="1:37">
      <c r="A40">
        <v>65536</v>
      </c>
      <c r="B40">
        <v>128</v>
      </c>
      <c r="C40">
        <v>30.519</v>
      </c>
      <c r="D40">
        <f t="shared" si="8"/>
        <v>0.030519</v>
      </c>
      <c r="E40">
        <v>1.976</v>
      </c>
      <c r="F40">
        <v>616</v>
      </c>
      <c r="G40">
        <f t="shared" ref="G40:G49" si="11">C40+201000</f>
        <v>201030.519</v>
      </c>
      <c r="H40">
        <f t="shared" ref="H40:H49" si="12">G40/1000</f>
        <v>201.030519</v>
      </c>
      <c r="I40" s="9"/>
      <c r="J40" s="13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4"/>
      <c r="X40" s="6"/>
      <c r="AK40" s="7"/>
    </row>
    <row r="41" spans="1:37">
      <c r="A41">
        <v>65536</v>
      </c>
      <c r="B41">
        <v>256</v>
      </c>
      <c r="C41">
        <v>58.519</v>
      </c>
      <c r="D41">
        <f t="shared" si="8"/>
        <v>0.058519</v>
      </c>
      <c r="E41">
        <v>2.006</v>
      </c>
      <c r="F41">
        <v>616</v>
      </c>
      <c r="G41">
        <f t="shared" si="11"/>
        <v>201058.519</v>
      </c>
      <c r="H41">
        <f t="shared" si="12"/>
        <v>201.058519</v>
      </c>
      <c r="I41" s="9"/>
      <c r="J41" s="13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4"/>
      <c r="X41" s="6"/>
      <c r="AK41" s="7"/>
    </row>
    <row r="42" spans="1:37">
      <c r="A42">
        <v>65536</v>
      </c>
      <c r="B42">
        <v>512</v>
      </c>
      <c r="C42">
        <v>114.573</v>
      </c>
      <c r="D42">
        <f t="shared" si="8"/>
        <v>0.114573</v>
      </c>
      <c r="E42">
        <v>2.055</v>
      </c>
      <c r="F42">
        <v>616</v>
      </c>
      <c r="G42">
        <f t="shared" si="11"/>
        <v>201114.573</v>
      </c>
      <c r="H42">
        <f t="shared" si="12"/>
        <v>201.114573</v>
      </c>
      <c r="I42" s="9"/>
      <c r="J42" s="13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14"/>
      <c r="X42" s="6"/>
      <c r="AK42" s="7"/>
    </row>
    <row r="43" spans="1:37">
      <c r="A43">
        <v>65536</v>
      </c>
      <c r="B43">
        <v>1024</v>
      </c>
      <c r="C43">
        <v>222.28</v>
      </c>
      <c r="D43">
        <f t="shared" si="8"/>
        <v>0.22228</v>
      </c>
      <c r="E43">
        <v>1.981</v>
      </c>
      <c r="F43">
        <v>616</v>
      </c>
      <c r="G43">
        <f t="shared" si="11"/>
        <v>201222.28</v>
      </c>
      <c r="H43">
        <f t="shared" si="12"/>
        <v>201.22228</v>
      </c>
      <c r="I43" s="9"/>
      <c r="J43" s="1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14"/>
      <c r="X43" s="6"/>
      <c r="AK43" s="7"/>
    </row>
    <row r="44" spans="1:37">
      <c r="A44">
        <v>65536</v>
      </c>
      <c r="B44">
        <v>2048</v>
      </c>
      <c r="C44">
        <v>429.067</v>
      </c>
      <c r="D44">
        <f t="shared" si="8"/>
        <v>0.429067</v>
      </c>
      <c r="E44">
        <v>1.941</v>
      </c>
      <c r="F44">
        <v>616</v>
      </c>
      <c r="G44">
        <f t="shared" si="11"/>
        <v>201429.067</v>
      </c>
      <c r="H44">
        <f t="shared" si="12"/>
        <v>201.429067</v>
      </c>
      <c r="I44" s="9"/>
      <c r="J44" s="13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4"/>
      <c r="X44" s="6"/>
      <c r="AK44" s="7"/>
    </row>
    <row r="45" spans="1:37">
      <c r="A45">
        <v>65536</v>
      </c>
      <c r="B45">
        <v>4096</v>
      </c>
      <c r="C45">
        <v>836.378</v>
      </c>
      <c r="D45">
        <f t="shared" si="8"/>
        <v>0.836378</v>
      </c>
      <c r="E45">
        <v>1.99</v>
      </c>
      <c r="F45">
        <v>616</v>
      </c>
      <c r="G45">
        <f t="shared" si="11"/>
        <v>201836.378</v>
      </c>
      <c r="H45">
        <f t="shared" si="12"/>
        <v>201.836378</v>
      </c>
      <c r="I45" s="9"/>
      <c r="J45" s="13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4"/>
      <c r="X45" s="6"/>
      <c r="AK45" s="7"/>
    </row>
    <row r="46" spans="1:37">
      <c r="A46">
        <v>65536</v>
      </c>
      <c r="B46">
        <v>8192</v>
      </c>
      <c r="C46">
        <v>1604.851</v>
      </c>
      <c r="D46">
        <f t="shared" si="8"/>
        <v>1.604851</v>
      </c>
      <c r="E46">
        <v>1.985</v>
      </c>
      <c r="F46">
        <v>616</v>
      </c>
      <c r="G46">
        <f t="shared" si="11"/>
        <v>202604.851</v>
      </c>
      <c r="H46">
        <f t="shared" si="12"/>
        <v>202.604851</v>
      </c>
      <c r="I46" s="9"/>
      <c r="J46" s="13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14"/>
      <c r="X46" s="6"/>
      <c r="AK46" s="7"/>
    </row>
    <row r="47" spans="1:37">
      <c r="A47">
        <v>65536</v>
      </c>
      <c r="B47">
        <v>16384</v>
      </c>
      <c r="C47">
        <v>3013.8</v>
      </c>
      <c r="D47">
        <f t="shared" si="8"/>
        <v>3.0138</v>
      </c>
      <c r="E47">
        <v>1.967</v>
      </c>
      <c r="F47">
        <v>616</v>
      </c>
      <c r="G47">
        <f t="shared" si="11"/>
        <v>204013.8</v>
      </c>
      <c r="H47">
        <f t="shared" si="12"/>
        <v>204.0138</v>
      </c>
      <c r="I47" s="9"/>
      <c r="J47" s="13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14"/>
      <c r="X47" s="6"/>
      <c r="AK47" s="7"/>
    </row>
    <row r="48" spans="1:37">
      <c r="A48">
        <v>65536</v>
      </c>
      <c r="B48">
        <v>32768</v>
      </c>
      <c r="C48">
        <v>5403.113</v>
      </c>
      <c r="D48">
        <f t="shared" si="8"/>
        <v>5.403113</v>
      </c>
      <c r="E48">
        <v>1.971</v>
      </c>
      <c r="F48">
        <v>616</v>
      </c>
      <c r="G48">
        <f t="shared" si="11"/>
        <v>206403.113</v>
      </c>
      <c r="H48">
        <f t="shared" si="12"/>
        <v>206.403113</v>
      </c>
      <c r="I48" s="9"/>
      <c r="J48" s="13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14"/>
      <c r="X48" s="6"/>
      <c r="AK48" s="7"/>
    </row>
    <row r="49" spans="1:37">
      <c r="A49">
        <v>65536</v>
      </c>
      <c r="B49">
        <v>65536</v>
      </c>
      <c r="C49">
        <v>8883.907</v>
      </c>
      <c r="D49">
        <f t="shared" si="8"/>
        <v>8.883907</v>
      </c>
      <c r="E49">
        <v>1.954</v>
      </c>
      <c r="G49">
        <f t="shared" si="11"/>
        <v>209883.907</v>
      </c>
      <c r="H49">
        <f t="shared" si="12"/>
        <v>209.883907</v>
      </c>
      <c r="I49" s="9"/>
      <c r="J49" s="13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4"/>
      <c r="X49" s="6"/>
      <c r="AK49" s="7"/>
    </row>
    <row r="50" spans="1:37">
      <c r="I50" s="9"/>
      <c r="J50" s="13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14"/>
      <c r="X50" s="6"/>
      <c r="AK50" s="7"/>
    </row>
    <row r="51" spans="1:37">
      <c r="I51" s="9"/>
      <c r="J51" s="13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4"/>
      <c r="X51" s="6"/>
      <c r="AK51" s="7"/>
    </row>
    <row r="52" spans="1:37">
      <c r="I52" s="9"/>
      <c r="J52" s="13"/>
      <c r="K52" s="8"/>
      <c r="L52" s="8"/>
      <c r="M52" s="9"/>
      <c r="N52" s="9"/>
      <c r="O52" s="9"/>
      <c r="P52" s="9"/>
      <c r="Q52" s="9"/>
      <c r="R52" s="9"/>
      <c r="S52" s="9"/>
      <c r="T52" s="9"/>
      <c r="U52" s="9"/>
      <c r="V52" s="14"/>
      <c r="X52" s="6"/>
      <c r="AK52" s="7"/>
    </row>
    <row r="53" spans="1:37">
      <c r="I53" s="9"/>
      <c r="J53" s="1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4"/>
      <c r="X53" s="6"/>
      <c r="AK53" s="7"/>
    </row>
    <row r="54" spans="1:37">
      <c r="I54" s="9"/>
      <c r="J54" s="13" t="s">
        <v>4</v>
      </c>
      <c r="K54" s="9" t="s">
        <v>5</v>
      </c>
      <c r="L54" s="9" t="s">
        <v>6</v>
      </c>
      <c r="M54" s="9" t="s">
        <v>7</v>
      </c>
      <c r="N54" s="9" t="s">
        <v>22</v>
      </c>
      <c r="O54" s="9"/>
      <c r="P54" s="9" t="s">
        <v>10</v>
      </c>
      <c r="Q54" s="9"/>
      <c r="R54" s="9"/>
      <c r="S54" s="9"/>
      <c r="T54" s="9" t="s">
        <v>14</v>
      </c>
      <c r="U54" s="9" t="s">
        <v>15</v>
      </c>
      <c r="V54" s="14" t="s">
        <v>16</v>
      </c>
      <c r="X54" s="8"/>
      <c r="Y54" s="8"/>
      <c r="AK54" s="7"/>
    </row>
    <row r="55" spans="1:37">
      <c r="I55" s="9"/>
      <c r="J55" s="13">
        <v>0</v>
      </c>
      <c r="K55" s="9">
        <v>65536</v>
      </c>
      <c r="L55" s="9">
        <v>64</v>
      </c>
      <c r="M55" s="9">
        <v>4</v>
      </c>
      <c r="N55" s="8">
        <v>267.184</v>
      </c>
      <c r="O55" s="9">
        <f>N55/1000</f>
        <v>0.267184</v>
      </c>
      <c r="P55" s="8">
        <v>910.562</v>
      </c>
      <c r="Q55" s="9">
        <f>P55/1000</f>
        <v>0.910562</v>
      </c>
      <c r="R55" s="9">
        <f>N55+P55</f>
        <v>1177.746</v>
      </c>
      <c r="S55" s="9">
        <f>R55/1000</f>
        <v>1.177746</v>
      </c>
      <c r="T55" s="8">
        <v>23.442</v>
      </c>
      <c r="U55" s="9">
        <v>55339933</v>
      </c>
      <c r="V55" s="14">
        <v>3328664</v>
      </c>
      <c r="X55" s="6" t="s">
        <v>4</v>
      </c>
      <c r="Y55" t="s">
        <v>5</v>
      </c>
      <c r="Z55" t="s">
        <v>6</v>
      </c>
      <c r="AA55" t="s">
        <v>7</v>
      </c>
      <c r="AB55" t="s">
        <v>8</v>
      </c>
      <c r="AC55" t="s">
        <v>9</v>
      </c>
      <c r="AD55" t="s">
        <v>10</v>
      </c>
      <c r="AE55" t="s">
        <v>11</v>
      </c>
      <c r="AF55" t="s">
        <v>12</v>
      </c>
      <c r="AG55" t="s">
        <v>13</v>
      </c>
      <c r="AH55" t="s">
        <v>14</v>
      </c>
      <c r="AI55" t="s">
        <v>15</v>
      </c>
      <c r="AJ55" t="s">
        <v>16</v>
      </c>
      <c r="AK55" s="7"/>
    </row>
    <row r="56" spans="1:37">
      <c r="I56" s="9"/>
      <c r="J56" s="13">
        <v>1</v>
      </c>
      <c r="K56" s="9">
        <v>65536</v>
      </c>
      <c r="L56" s="9">
        <v>128</v>
      </c>
      <c r="M56" s="9">
        <v>4</v>
      </c>
      <c r="N56" s="8">
        <v>267.184</v>
      </c>
      <c r="O56" s="9">
        <f t="shared" ref="O56:O87" si="13">N56/1000</f>
        <v>0.267184</v>
      </c>
      <c r="P56" s="8">
        <v>945.332</v>
      </c>
      <c r="Q56" s="9">
        <f t="shared" ref="Q56:Q87" si="14">P56/1000</f>
        <v>0.945332</v>
      </c>
      <c r="R56" s="9">
        <f t="shared" ref="R56:R87" si="15">N56+P56</f>
        <v>1212.516</v>
      </c>
      <c r="S56" s="9">
        <f t="shared" ref="S56:S87" si="16">R56/1000</f>
        <v>1.212516</v>
      </c>
      <c r="T56" s="8">
        <v>29.03</v>
      </c>
      <c r="U56" s="9">
        <v>55386085</v>
      </c>
      <c r="V56" s="14">
        <v>3469560</v>
      </c>
      <c r="X56" s="6">
        <v>0</v>
      </c>
      <c r="Y56">
        <v>65536</v>
      </c>
      <c r="Z56">
        <v>64</v>
      </c>
      <c r="AA56">
        <v>4</v>
      </c>
      <c r="AB56" s="8">
        <v>166.435</v>
      </c>
      <c r="AC56">
        <f t="shared" ref="AC56:AC84" si="17">AB56/1000</f>
        <v>0.166435</v>
      </c>
      <c r="AD56" s="8">
        <v>463.003</v>
      </c>
      <c r="AE56">
        <f t="shared" ref="AE56:AE84" si="18">AD56/1000</f>
        <v>0.463003</v>
      </c>
      <c r="AF56">
        <f t="shared" ref="AF56:AF84" si="19">AB56+AD56</f>
        <v>629.438</v>
      </c>
      <c r="AG56">
        <f t="shared" ref="AG56:AG84" si="20">AC56+AE56</f>
        <v>0.629438</v>
      </c>
      <c r="AH56" s="8">
        <v>20.86</v>
      </c>
      <c r="AI56">
        <v>55339933</v>
      </c>
      <c r="AJ56">
        <v>3328664</v>
      </c>
      <c r="AK56" s="7"/>
    </row>
    <row r="57" spans="1:37">
      <c r="I57" s="9"/>
      <c r="J57" s="13">
        <v>2</v>
      </c>
      <c r="K57" s="9">
        <v>65536</v>
      </c>
      <c r="L57" s="9">
        <v>256</v>
      </c>
      <c r="M57" s="9">
        <v>4</v>
      </c>
      <c r="N57" s="8">
        <v>267.184</v>
      </c>
      <c r="O57" s="9">
        <f t="shared" si="13"/>
        <v>0.267184</v>
      </c>
      <c r="P57" s="8">
        <v>951.439</v>
      </c>
      <c r="Q57" s="9">
        <f t="shared" si="14"/>
        <v>0.951439</v>
      </c>
      <c r="R57" s="9">
        <f t="shared" si="15"/>
        <v>1218.623</v>
      </c>
      <c r="S57" s="9">
        <f t="shared" si="16"/>
        <v>1.218623</v>
      </c>
      <c r="T57" s="8">
        <v>31.642</v>
      </c>
      <c r="U57" s="9">
        <v>55478317</v>
      </c>
      <c r="V57" s="14">
        <v>3622744</v>
      </c>
      <c r="X57" s="6">
        <v>1</v>
      </c>
      <c r="Y57">
        <v>65536</v>
      </c>
      <c r="Z57">
        <v>128</v>
      </c>
      <c r="AA57">
        <v>4</v>
      </c>
      <c r="AB57" s="8">
        <v>166.435</v>
      </c>
      <c r="AC57">
        <f t="shared" si="17"/>
        <v>0.166435</v>
      </c>
      <c r="AD57" s="8">
        <v>467.305</v>
      </c>
      <c r="AE57">
        <f t="shared" si="18"/>
        <v>0.467305</v>
      </c>
      <c r="AF57">
        <f t="shared" si="19"/>
        <v>633.74</v>
      </c>
      <c r="AG57">
        <f t="shared" si="20"/>
        <v>0.63374</v>
      </c>
      <c r="AH57" s="8">
        <v>20.502</v>
      </c>
      <c r="AI57">
        <v>55386085</v>
      </c>
      <c r="AJ57">
        <v>3469560</v>
      </c>
      <c r="AK57" s="7"/>
    </row>
    <row r="58" spans="1:37">
      <c r="I58" s="9"/>
      <c r="J58" s="13">
        <v>3</v>
      </c>
      <c r="K58" s="9">
        <v>65536</v>
      </c>
      <c r="L58" s="9">
        <v>512</v>
      </c>
      <c r="M58" s="9">
        <v>4</v>
      </c>
      <c r="N58" s="8">
        <v>267.184</v>
      </c>
      <c r="O58" s="9">
        <f t="shared" si="13"/>
        <v>0.267184</v>
      </c>
      <c r="P58" s="8">
        <v>946.631</v>
      </c>
      <c r="Q58" s="9">
        <f t="shared" si="14"/>
        <v>0.946631</v>
      </c>
      <c r="R58" s="9">
        <f t="shared" si="15"/>
        <v>1213.815</v>
      </c>
      <c r="S58" s="9">
        <f t="shared" si="16"/>
        <v>1.213815</v>
      </c>
      <c r="T58" s="8">
        <v>30.095</v>
      </c>
      <c r="U58" s="9">
        <v>55662709</v>
      </c>
      <c r="V58" s="14">
        <v>3788216</v>
      </c>
      <c r="X58" s="6">
        <v>2</v>
      </c>
      <c r="Y58">
        <v>65536</v>
      </c>
      <c r="Z58">
        <v>256</v>
      </c>
      <c r="AA58">
        <v>4</v>
      </c>
      <c r="AB58" s="8">
        <v>166.435</v>
      </c>
      <c r="AC58">
        <f t="shared" si="17"/>
        <v>0.166435</v>
      </c>
      <c r="AD58" s="8">
        <v>466.891</v>
      </c>
      <c r="AE58">
        <f t="shared" si="18"/>
        <v>0.466891</v>
      </c>
      <c r="AF58">
        <f t="shared" si="19"/>
        <v>633.326</v>
      </c>
      <c r="AG58">
        <f t="shared" si="20"/>
        <v>0.633326</v>
      </c>
      <c r="AH58" s="8">
        <v>20.903</v>
      </c>
      <c r="AI58">
        <v>55478317</v>
      </c>
      <c r="AJ58">
        <v>3622744</v>
      </c>
      <c r="AK58" s="7"/>
    </row>
    <row r="59" spans="1:37">
      <c r="I59" s="9"/>
      <c r="J59" s="13">
        <v>4</v>
      </c>
      <c r="K59" s="9">
        <v>65536</v>
      </c>
      <c r="L59" s="9">
        <v>1024</v>
      </c>
      <c r="M59" s="9">
        <v>4</v>
      </c>
      <c r="N59" s="8">
        <v>267.184</v>
      </c>
      <c r="O59" s="9">
        <f t="shared" si="13"/>
        <v>0.267184</v>
      </c>
      <c r="P59" s="8">
        <v>961.761</v>
      </c>
      <c r="Q59" s="9">
        <f t="shared" si="14"/>
        <v>0.961761</v>
      </c>
      <c r="R59" s="9">
        <f t="shared" si="15"/>
        <v>1228.945</v>
      </c>
      <c r="S59" s="9">
        <f t="shared" si="16"/>
        <v>1.228945</v>
      </c>
      <c r="T59" s="8">
        <v>31.335</v>
      </c>
      <c r="U59" s="9">
        <v>56031421</v>
      </c>
      <c r="V59" s="14">
        <v>3965976</v>
      </c>
      <c r="X59" s="6">
        <v>3</v>
      </c>
      <c r="Y59">
        <v>65536</v>
      </c>
      <c r="Z59">
        <v>512</v>
      </c>
      <c r="AA59">
        <v>4</v>
      </c>
      <c r="AB59" s="8">
        <v>166.435</v>
      </c>
      <c r="AC59">
        <f t="shared" si="17"/>
        <v>0.166435</v>
      </c>
      <c r="AD59" s="8">
        <v>467.034</v>
      </c>
      <c r="AE59">
        <f t="shared" si="18"/>
        <v>0.467034</v>
      </c>
      <c r="AF59">
        <f t="shared" si="19"/>
        <v>633.469</v>
      </c>
      <c r="AG59">
        <f t="shared" si="20"/>
        <v>0.633469</v>
      </c>
      <c r="AH59" s="8">
        <v>21.457</v>
      </c>
      <c r="AI59">
        <v>55662709</v>
      </c>
      <c r="AJ59">
        <v>3788216</v>
      </c>
      <c r="AK59" s="7"/>
    </row>
    <row r="60" spans="1:37">
      <c r="I60" s="9"/>
      <c r="J60" s="13">
        <v>5</v>
      </c>
      <c r="K60" s="9">
        <v>65536</v>
      </c>
      <c r="L60" s="9">
        <v>2048</v>
      </c>
      <c r="M60" s="9">
        <v>4</v>
      </c>
      <c r="N60" s="8">
        <v>267.184</v>
      </c>
      <c r="O60" s="9">
        <f t="shared" si="13"/>
        <v>0.267184</v>
      </c>
      <c r="P60" s="8">
        <v>916.939</v>
      </c>
      <c r="Q60" s="9">
        <f t="shared" si="14"/>
        <v>0.916939</v>
      </c>
      <c r="R60" s="9">
        <f t="shared" si="15"/>
        <v>1184.123</v>
      </c>
      <c r="S60" s="9">
        <f t="shared" si="16"/>
        <v>1.184123</v>
      </c>
      <c r="T60" s="8">
        <v>30.048</v>
      </c>
      <c r="U60" s="9">
        <v>56768773</v>
      </c>
      <c r="V60" s="14">
        <v>4156024</v>
      </c>
      <c r="X60" s="6">
        <v>4</v>
      </c>
      <c r="Y60">
        <v>65536</v>
      </c>
      <c r="Z60">
        <v>1024</v>
      </c>
      <c r="AA60">
        <v>4</v>
      </c>
      <c r="AB60" s="8">
        <v>166.435</v>
      </c>
      <c r="AC60">
        <f t="shared" si="17"/>
        <v>0.166435</v>
      </c>
      <c r="AD60" s="8">
        <v>474.461</v>
      </c>
      <c r="AE60">
        <f t="shared" si="18"/>
        <v>0.474461</v>
      </c>
      <c r="AF60">
        <f t="shared" si="19"/>
        <v>640.896</v>
      </c>
      <c r="AG60">
        <f t="shared" si="20"/>
        <v>0.640896</v>
      </c>
      <c r="AH60" s="8">
        <v>21.527</v>
      </c>
      <c r="AI60">
        <v>56031421</v>
      </c>
      <c r="AJ60">
        <v>3965976</v>
      </c>
      <c r="AK60" s="7"/>
    </row>
    <row r="61" spans="1:37">
      <c r="I61" s="9"/>
      <c r="J61" s="13">
        <v>6</v>
      </c>
      <c r="K61" s="9">
        <v>65536</v>
      </c>
      <c r="L61" s="9">
        <v>4096</v>
      </c>
      <c r="M61" s="9">
        <v>4</v>
      </c>
      <c r="N61" s="8">
        <v>267.184</v>
      </c>
      <c r="O61" s="9">
        <f t="shared" si="13"/>
        <v>0.267184</v>
      </c>
      <c r="P61" s="8">
        <v>962.005</v>
      </c>
      <c r="Q61" s="9">
        <f t="shared" si="14"/>
        <v>0.962005</v>
      </c>
      <c r="R61" s="9">
        <f t="shared" si="15"/>
        <v>1229.189</v>
      </c>
      <c r="S61" s="9">
        <f t="shared" si="16"/>
        <v>1.229189</v>
      </c>
      <c r="T61" s="8">
        <v>39.875</v>
      </c>
      <c r="U61" s="9">
        <v>58243405</v>
      </c>
      <c r="V61" s="14">
        <v>4358360</v>
      </c>
      <c r="X61" s="6">
        <v>5</v>
      </c>
      <c r="Y61">
        <v>65536</v>
      </c>
      <c r="Z61">
        <v>2048</v>
      </c>
      <c r="AA61">
        <v>4</v>
      </c>
      <c r="AB61" s="8">
        <v>166.435</v>
      </c>
      <c r="AC61">
        <f t="shared" si="17"/>
        <v>0.166435</v>
      </c>
      <c r="AD61" s="8">
        <v>468.966</v>
      </c>
      <c r="AE61">
        <f t="shared" si="18"/>
        <v>0.468966</v>
      </c>
      <c r="AF61">
        <f t="shared" si="19"/>
        <v>635.401</v>
      </c>
      <c r="AG61">
        <f t="shared" si="20"/>
        <v>0.635401</v>
      </c>
      <c r="AH61" s="8">
        <v>23.205</v>
      </c>
      <c r="AI61">
        <v>56768773</v>
      </c>
      <c r="AJ61">
        <v>4156024</v>
      </c>
      <c r="AK61" s="7"/>
    </row>
    <row r="62" spans="1:37">
      <c r="I62" s="9"/>
      <c r="J62" s="13">
        <v>7</v>
      </c>
      <c r="K62" s="9">
        <v>65536</v>
      </c>
      <c r="L62" s="9">
        <v>8192</v>
      </c>
      <c r="M62" s="9">
        <v>4</v>
      </c>
      <c r="N62" s="8">
        <v>267.184</v>
      </c>
      <c r="O62" s="9">
        <f t="shared" si="13"/>
        <v>0.267184</v>
      </c>
      <c r="P62" s="8">
        <v>974.07</v>
      </c>
      <c r="Q62" s="9">
        <f t="shared" si="14"/>
        <v>0.97407</v>
      </c>
      <c r="R62" s="9">
        <f t="shared" si="15"/>
        <v>1241.254</v>
      </c>
      <c r="S62" s="9">
        <f t="shared" si="16"/>
        <v>1.241254</v>
      </c>
      <c r="T62" s="8">
        <v>38.88</v>
      </c>
      <c r="U62" s="9">
        <v>61192597</v>
      </c>
      <c r="V62" s="14">
        <v>4572984</v>
      </c>
      <c r="X62" s="6">
        <v>6</v>
      </c>
      <c r="Y62">
        <v>65536</v>
      </c>
      <c r="Z62">
        <v>4096</v>
      </c>
      <c r="AA62">
        <v>4</v>
      </c>
      <c r="AB62" s="8">
        <v>166.435</v>
      </c>
      <c r="AC62">
        <f t="shared" si="17"/>
        <v>0.166435</v>
      </c>
      <c r="AD62" s="8">
        <v>497.018</v>
      </c>
      <c r="AE62">
        <f t="shared" si="18"/>
        <v>0.497018</v>
      </c>
      <c r="AF62">
        <f t="shared" si="19"/>
        <v>663.453</v>
      </c>
      <c r="AG62">
        <f t="shared" si="20"/>
        <v>0.663453</v>
      </c>
      <c r="AH62" s="8">
        <v>24.073</v>
      </c>
      <c r="AI62">
        <v>58243405</v>
      </c>
      <c r="AJ62">
        <v>4358360</v>
      </c>
      <c r="AK62" s="7"/>
    </row>
    <row r="63" spans="1:37">
      <c r="I63" s="9"/>
      <c r="J63" s="13">
        <v>8</v>
      </c>
      <c r="K63" s="9">
        <v>65536</v>
      </c>
      <c r="L63" s="9">
        <v>16384</v>
      </c>
      <c r="M63" s="9">
        <v>4</v>
      </c>
      <c r="N63" s="8">
        <v>267.184</v>
      </c>
      <c r="O63" s="9">
        <f t="shared" si="13"/>
        <v>0.267184</v>
      </c>
      <c r="P63" s="8">
        <v>967.006</v>
      </c>
      <c r="Q63" s="9">
        <f t="shared" si="14"/>
        <v>0.967006</v>
      </c>
      <c r="R63" s="9">
        <f t="shared" si="15"/>
        <v>1234.19</v>
      </c>
      <c r="S63" s="9">
        <f t="shared" si="16"/>
        <v>1.23419</v>
      </c>
      <c r="T63" s="8">
        <v>31.89</v>
      </c>
      <c r="U63" s="9">
        <v>67090909</v>
      </c>
      <c r="V63" s="14">
        <v>4799896</v>
      </c>
      <c r="X63" s="6">
        <v>7</v>
      </c>
      <c r="Y63">
        <v>65536</v>
      </c>
      <c r="Z63">
        <v>8192</v>
      </c>
      <c r="AA63">
        <v>4</v>
      </c>
      <c r="AB63" s="8">
        <v>166.435</v>
      </c>
      <c r="AC63">
        <f t="shared" si="17"/>
        <v>0.166435</v>
      </c>
      <c r="AD63" s="8">
        <v>527.393</v>
      </c>
      <c r="AE63">
        <f t="shared" si="18"/>
        <v>0.527393</v>
      </c>
      <c r="AF63">
        <f t="shared" si="19"/>
        <v>693.828</v>
      </c>
      <c r="AG63">
        <f t="shared" si="20"/>
        <v>0.693828</v>
      </c>
      <c r="AH63" s="8">
        <v>24.101</v>
      </c>
      <c r="AI63">
        <v>61192597</v>
      </c>
      <c r="AJ63">
        <v>4572984</v>
      </c>
      <c r="AK63" s="7"/>
    </row>
    <row r="64" spans="1:37">
      <c r="I64" s="9"/>
      <c r="J64" s="13">
        <v>9</v>
      </c>
      <c r="K64" s="9">
        <v>65536</v>
      </c>
      <c r="L64" s="9">
        <v>32768</v>
      </c>
      <c r="M64" s="9">
        <v>4</v>
      </c>
      <c r="N64" s="8">
        <v>267.184</v>
      </c>
      <c r="O64" s="9">
        <f t="shared" si="13"/>
        <v>0.267184</v>
      </c>
      <c r="P64" s="8">
        <v>1005.071</v>
      </c>
      <c r="Q64" s="9">
        <f t="shared" si="14"/>
        <v>1.005071</v>
      </c>
      <c r="R64" s="9">
        <f t="shared" si="15"/>
        <v>1272.255</v>
      </c>
      <c r="S64" s="9">
        <f t="shared" si="16"/>
        <v>1.272255</v>
      </c>
      <c r="T64" s="8">
        <v>32.181</v>
      </c>
      <c r="U64" s="9">
        <v>78887461</v>
      </c>
      <c r="V64" s="14">
        <v>5039096</v>
      </c>
      <c r="X64" s="6">
        <v>8</v>
      </c>
      <c r="Y64">
        <v>65536</v>
      </c>
      <c r="Z64">
        <v>16384</v>
      </c>
      <c r="AA64">
        <v>4</v>
      </c>
      <c r="AB64" s="8">
        <v>166.435</v>
      </c>
      <c r="AC64">
        <f t="shared" si="17"/>
        <v>0.166435</v>
      </c>
      <c r="AD64" s="8">
        <v>564.588</v>
      </c>
      <c r="AE64">
        <f t="shared" si="18"/>
        <v>0.564588</v>
      </c>
      <c r="AF64">
        <f t="shared" si="19"/>
        <v>731.023</v>
      </c>
      <c r="AG64">
        <f t="shared" si="20"/>
        <v>0.731023</v>
      </c>
      <c r="AH64" s="8">
        <v>23.497</v>
      </c>
      <c r="AI64">
        <v>67090909</v>
      </c>
      <c r="AJ64">
        <v>4799896</v>
      </c>
      <c r="AK64" s="7"/>
    </row>
    <row r="65" spans="1:37">
      <c r="I65" s="9"/>
      <c r="J65" s="13">
        <v>10</v>
      </c>
      <c r="K65" s="9">
        <v>65536</v>
      </c>
      <c r="L65" s="9">
        <v>65536</v>
      </c>
      <c r="M65" s="9">
        <v>4</v>
      </c>
      <c r="N65" s="8">
        <v>267.184</v>
      </c>
      <c r="O65" s="9">
        <f t="shared" si="13"/>
        <v>0.267184</v>
      </c>
      <c r="P65" s="8">
        <v>1058.216</v>
      </c>
      <c r="Q65" s="9">
        <f t="shared" si="14"/>
        <v>1.058216</v>
      </c>
      <c r="R65" s="9">
        <f t="shared" si="15"/>
        <v>1325.4</v>
      </c>
      <c r="S65" s="9">
        <f t="shared" si="16"/>
        <v>1.3254</v>
      </c>
      <c r="T65" s="8">
        <v>33.09</v>
      </c>
      <c r="U65" s="9">
        <v>102480493</v>
      </c>
      <c r="V65" s="14">
        <v>5290584</v>
      </c>
      <c r="X65" s="6">
        <v>9</v>
      </c>
      <c r="Y65">
        <v>65536</v>
      </c>
      <c r="Z65">
        <v>32768</v>
      </c>
      <c r="AA65">
        <v>4</v>
      </c>
      <c r="AB65" s="8">
        <v>166.435</v>
      </c>
      <c r="AC65">
        <f t="shared" si="17"/>
        <v>0.166435</v>
      </c>
      <c r="AD65" s="8">
        <v>669.3</v>
      </c>
      <c r="AE65">
        <f t="shared" si="18"/>
        <v>0.6693</v>
      </c>
      <c r="AF65">
        <f t="shared" si="19"/>
        <v>835.735</v>
      </c>
      <c r="AG65">
        <f t="shared" si="20"/>
        <v>0.835735</v>
      </c>
      <c r="AH65" s="8">
        <v>26.047</v>
      </c>
      <c r="AI65">
        <v>78887461</v>
      </c>
      <c r="AJ65">
        <v>5039096</v>
      </c>
      <c r="AK65" s="7"/>
    </row>
    <row r="66" spans="1:37">
      <c r="I66" s="9"/>
      <c r="J66" s="13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4"/>
      <c r="X66" s="6">
        <v>10</v>
      </c>
      <c r="Y66">
        <v>65536</v>
      </c>
      <c r="Z66">
        <v>65536</v>
      </c>
      <c r="AA66">
        <v>4</v>
      </c>
      <c r="AB66" s="8">
        <v>166.435</v>
      </c>
      <c r="AC66">
        <f t="shared" si="17"/>
        <v>0.166435</v>
      </c>
      <c r="AD66" s="8">
        <v>836.917</v>
      </c>
      <c r="AE66">
        <f t="shared" si="18"/>
        <v>0.836917</v>
      </c>
      <c r="AF66">
        <f t="shared" si="19"/>
        <v>1003.352</v>
      </c>
      <c r="AG66">
        <f t="shared" si="20"/>
        <v>1.003352</v>
      </c>
      <c r="AH66" s="8">
        <v>24.72</v>
      </c>
      <c r="AI66">
        <v>102480493</v>
      </c>
      <c r="AJ66">
        <v>5290584</v>
      </c>
      <c r="AK66" s="7"/>
    </row>
    <row r="67" spans="1:37">
      <c r="I67" s="9"/>
      <c r="J67" s="13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4"/>
      <c r="X67" s="6"/>
      <c r="AK67" s="7"/>
    </row>
    <row r="68" spans="1:37">
      <c r="I68" s="9"/>
      <c r="J68" s="13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4"/>
      <c r="X68" s="6"/>
      <c r="AK68" s="7"/>
    </row>
    <row r="69" spans="1:37">
      <c r="I69" s="9"/>
      <c r="J69" s="13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4"/>
      <c r="X69" s="6"/>
      <c r="AK69" s="7"/>
    </row>
    <row r="70" spans="1:37">
      <c r="A70" t="s">
        <v>3</v>
      </c>
      <c r="I70" s="9"/>
      <c r="J70" s="13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14"/>
      <c r="X70" s="6"/>
      <c r="AK70" s="7"/>
    </row>
    <row r="71" spans="1:37">
      <c r="A71" t="s">
        <v>17</v>
      </c>
      <c r="I71" s="9"/>
      <c r="J71" s="13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4"/>
      <c r="X71" s="6"/>
      <c r="AK71" s="7"/>
    </row>
    <row r="72" spans="1:37">
      <c r="A72" t="s">
        <v>23</v>
      </c>
      <c r="I72" s="9"/>
      <c r="J72" s="13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4"/>
      <c r="X72" s="6"/>
      <c r="AK72" s="7"/>
    </row>
    <row r="73" spans="1:37">
      <c r="I73" s="9"/>
      <c r="J73" s="13"/>
      <c r="K73" s="8"/>
      <c r="L73" s="8"/>
      <c r="M73" s="8"/>
      <c r="N73" s="9"/>
      <c r="O73" s="9"/>
      <c r="P73" s="9"/>
      <c r="Q73" s="9"/>
      <c r="R73" s="9"/>
      <c r="S73" s="9"/>
      <c r="T73" s="9"/>
      <c r="U73" s="9"/>
      <c r="V73" s="14"/>
      <c r="X73" s="6" t="s">
        <v>4</v>
      </c>
      <c r="Y73" t="s">
        <v>5</v>
      </c>
      <c r="Z73" t="s">
        <v>6</v>
      </c>
      <c r="AA73" t="s">
        <v>7</v>
      </c>
      <c r="AB73" t="s">
        <v>8</v>
      </c>
      <c r="AC73" t="s">
        <v>9</v>
      </c>
      <c r="AD73" t="s">
        <v>10</v>
      </c>
      <c r="AE73" t="s">
        <v>11</v>
      </c>
      <c r="AF73" t="s">
        <v>12</v>
      </c>
      <c r="AG73" t="s">
        <v>13</v>
      </c>
      <c r="AH73" t="s">
        <v>14</v>
      </c>
      <c r="AI73" t="s">
        <v>15</v>
      </c>
      <c r="AJ73" t="s">
        <v>16</v>
      </c>
      <c r="AK73" s="7"/>
    </row>
    <row r="74" spans="1:37">
      <c r="A74" t="s">
        <v>5</v>
      </c>
      <c r="B74" t="s">
        <v>24</v>
      </c>
      <c r="C74" t="s">
        <v>10</v>
      </c>
      <c r="E74" t="s">
        <v>14</v>
      </c>
      <c r="F74" t="s">
        <v>16</v>
      </c>
      <c r="I74" s="9"/>
      <c r="J74" s="13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4"/>
      <c r="X74" s="6">
        <v>0</v>
      </c>
      <c r="Y74">
        <v>131072</v>
      </c>
      <c r="Z74">
        <v>64</v>
      </c>
      <c r="AA74">
        <v>4</v>
      </c>
      <c r="AB74" s="8">
        <v>365.554</v>
      </c>
      <c r="AC74">
        <f t="shared" si="17"/>
        <v>0.365554</v>
      </c>
      <c r="AD74" s="8">
        <v>922.867</v>
      </c>
      <c r="AE74">
        <f t="shared" si="18"/>
        <v>0.922867</v>
      </c>
      <c r="AF74">
        <f t="shared" si="19"/>
        <v>1288.421</v>
      </c>
      <c r="AG74">
        <f t="shared" si="20"/>
        <v>1.288421</v>
      </c>
      <c r="AH74" s="8">
        <v>22.794</v>
      </c>
      <c r="AI74">
        <v>109948421</v>
      </c>
      <c r="AJ74">
        <v>3594488</v>
      </c>
      <c r="AK74" s="7"/>
    </row>
    <row r="75" spans="1:37">
      <c r="A75" t="s">
        <v>25</v>
      </c>
      <c r="B75" t="s">
        <v>26</v>
      </c>
      <c r="C75" t="s">
        <v>27</v>
      </c>
      <c r="E75" t="s">
        <v>27</v>
      </c>
      <c r="F75" t="s">
        <v>28</v>
      </c>
      <c r="I75" s="9"/>
      <c r="J75" s="13" t="s">
        <v>4</v>
      </c>
      <c r="K75" s="9" t="s">
        <v>5</v>
      </c>
      <c r="L75" s="9" t="s">
        <v>6</v>
      </c>
      <c r="M75" s="9" t="s">
        <v>7</v>
      </c>
      <c r="N75" s="9" t="s">
        <v>22</v>
      </c>
      <c r="O75" s="9"/>
      <c r="P75" s="9" t="s">
        <v>10</v>
      </c>
      <c r="Q75" s="9"/>
      <c r="R75" s="9"/>
      <c r="S75" s="9"/>
      <c r="T75" s="9" t="s">
        <v>14</v>
      </c>
      <c r="U75" s="9" t="s">
        <v>15</v>
      </c>
      <c r="V75" s="14" t="s">
        <v>16</v>
      </c>
      <c r="X75" s="6">
        <v>1</v>
      </c>
      <c r="Y75">
        <v>131072</v>
      </c>
      <c r="Z75">
        <v>128</v>
      </c>
      <c r="AA75">
        <v>4</v>
      </c>
      <c r="AB75" s="8">
        <v>365.554</v>
      </c>
      <c r="AC75">
        <f t="shared" si="17"/>
        <v>0.365554</v>
      </c>
      <c r="AD75" s="8">
        <v>920.779</v>
      </c>
      <c r="AE75">
        <f t="shared" si="18"/>
        <v>0.920779</v>
      </c>
      <c r="AF75">
        <f t="shared" si="19"/>
        <v>1286.333</v>
      </c>
      <c r="AG75">
        <f t="shared" si="20"/>
        <v>1.286333</v>
      </c>
      <c r="AH75" s="8">
        <v>22.12</v>
      </c>
      <c r="AI75">
        <v>109994573</v>
      </c>
      <c r="AJ75">
        <v>3735384</v>
      </c>
      <c r="AK75" s="7"/>
    </row>
    <row r="76" spans="1:37">
      <c r="A76">
        <v>131072</v>
      </c>
      <c r="B76">
        <v>64</v>
      </c>
      <c r="C76">
        <v>16.821</v>
      </c>
      <c r="D76">
        <f t="shared" ref="D76:D87" si="21">C76/1000</f>
        <v>0.016821</v>
      </c>
      <c r="E76">
        <v>1.975</v>
      </c>
      <c r="F76">
        <v>616</v>
      </c>
      <c r="G76">
        <f>C76+425701.203</f>
        <v>425718.024</v>
      </c>
      <c r="H76">
        <f>G76/1000</f>
        <v>425.718024</v>
      </c>
      <c r="I76" s="9"/>
      <c r="J76" s="13">
        <v>0</v>
      </c>
      <c r="K76" s="9">
        <v>131072</v>
      </c>
      <c r="L76" s="9">
        <v>64</v>
      </c>
      <c r="M76" s="9">
        <v>4</v>
      </c>
      <c r="N76" s="8">
        <v>558.547</v>
      </c>
      <c r="O76" s="9">
        <f t="shared" si="13"/>
        <v>0.558547</v>
      </c>
      <c r="P76" s="8">
        <v>1739.073</v>
      </c>
      <c r="Q76" s="9">
        <f t="shared" si="14"/>
        <v>1.739073</v>
      </c>
      <c r="R76" s="9">
        <f t="shared" si="15"/>
        <v>2297.62</v>
      </c>
      <c r="S76" s="9">
        <f t="shared" si="16"/>
        <v>2.29762</v>
      </c>
      <c r="T76" s="8">
        <v>27.946</v>
      </c>
      <c r="U76" s="9">
        <v>109948421</v>
      </c>
      <c r="V76" s="14">
        <v>3594488</v>
      </c>
      <c r="X76" s="6">
        <v>2</v>
      </c>
      <c r="Y76">
        <v>131072</v>
      </c>
      <c r="Z76">
        <v>256</v>
      </c>
      <c r="AA76">
        <v>4</v>
      </c>
      <c r="AB76" s="8">
        <v>365.554</v>
      </c>
      <c r="AC76">
        <f t="shared" si="17"/>
        <v>0.365554</v>
      </c>
      <c r="AD76" s="8">
        <v>921.814</v>
      </c>
      <c r="AE76">
        <f t="shared" si="18"/>
        <v>0.921814</v>
      </c>
      <c r="AF76">
        <f t="shared" si="19"/>
        <v>1287.368</v>
      </c>
      <c r="AG76">
        <f t="shared" si="20"/>
        <v>1.287368</v>
      </c>
      <c r="AH76" s="8">
        <v>21.387</v>
      </c>
      <c r="AI76">
        <v>110086805</v>
      </c>
      <c r="AJ76">
        <v>3888568</v>
      </c>
      <c r="AK76" s="7"/>
    </row>
    <row r="77" spans="1:37">
      <c r="A77">
        <v>131072</v>
      </c>
      <c r="B77">
        <v>128</v>
      </c>
      <c r="C77">
        <v>30.569</v>
      </c>
      <c r="D77">
        <f t="shared" si="21"/>
        <v>0.030569</v>
      </c>
      <c r="E77">
        <v>1.988</v>
      </c>
      <c r="F77">
        <v>616</v>
      </c>
      <c r="G77">
        <f t="shared" ref="G77:G87" si="22">C77+425701.203</f>
        <v>425731.772</v>
      </c>
      <c r="H77">
        <f t="shared" ref="H77:H87" si="23">G77/1000</f>
        <v>425.731772</v>
      </c>
      <c r="I77" s="9"/>
      <c r="J77" s="13">
        <v>1</v>
      </c>
      <c r="K77" s="9">
        <v>131072</v>
      </c>
      <c r="L77" s="9">
        <v>128</v>
      </c>
      <c r="M77" s="9">
        <v>4</v>
      </c>
      <c r="N77" s="8">
        <v>558.547</v>
      </c>
      <c r="O77" s="9">
        <f t="shared" si="13"/>
        <v>0.558547</v>
      </c>
      <c r="P77" s="8">
        <v>1922.756</v>
      </c>
      <c r="Q77" s="9">
        <f t="shared" si="14"/>
        <v>1.922756</v>
      </c>
      <c r="R77" s="9">
        <f t="shared" si="15"/>
        <v>2481.303</v>
      </c>
      <c r="S77" s="9">
        <f t="shared" si="16"/>
        <v>2.481303</v>
      </c>
      <c r="T77" s="8">
        <v>34.188</v>
      </c>
      <c r="U77" s="9">
        <v>109994573</v>
      </c>
      <c r="V77" s="14">
        <v>3735384</v>
      </c>
      <c r="X77" s="6">
        <v>3</v>
      </c>
      <c r="Y77">
        <v>131072</v>
      </c>
      <c r="Z77">
        <v>512</v>
      </c>
      <c r="AA77">
        <v>4</v>
      </c>
      <c r="AB77" s="8">
        <v>365.554</v>
      </c>
      <c r="AC77">
        <f t="shared" si="17"/>
        <v>0.365554</v>
      </c>
      <c r="AD77" s="8">
        <v>924.631</v>
      </c>
      <c r="AE77">
        <f t="shared" si="18"/>
        <v>0.924631</v>
      </c>
      <c r="AF77">
        <f t="shared" si="19"/>
        <v>1290.185</v>
      </c>
      <c r="AG77">
        <f t="shared" si="20"/>
        <v>1.290185</v>
      </c>
      <c r="AH77" s="8">
        <v>23.802</v>
      </c>
      <c r="AI77">
        <v>110271197</v>
      </c>
      <c r="AJ77">
        <v>4054040</v>
      </c>
      <c r="AK77" s="7"/>
    </row>
    <row r="78" spans="1:37">
      <c r="A78">
        <v>131072</v>
      </c>
      <c r="B78">
        <v>256</v>
      </c>
      <c r="C78">
        <v>59.003</v>
      </c>
      <c r="D78">
        <f t="shared" si="21"/>
        <v>0.059003</v>
      </c>
      <c r="E78">
        <v>1.993</v>
      </c>
      <c r="F78">
        <v>616</v>
      </c>
      <c r="G78">
        <f t="shared" si="22"/>
        <v>425760.206</v>
      </c>
      <c r="H78">
        <f t="shared" si="23"/>
        <v>425.760206</v>
      </c>
      <c r="I78" s="9"/>
      <c r="J78" s="13">
        <v>2</v>
      </c>
      <c r="K78" s="9">
        <v>131072</v>
      </c>
      <c r="L78" s="9">
        <v>256</v>
      </c>
      <c r="M78" s="9">
        <v>4</v>
      </c>
      <c r="N78" s="8">
        <v>558.547</v>
      </c>
      <c r="O78" s="9">
        <f t="shared" si="13"/>
        <v>0.558547</v>
      </c>
      <c r="P78" s="8">
        <v>1804.121</v>
      </c>
      <c r="Q78" s="9">
        <f t="shared" si="14"/>
        <v>1.804121</v>
      </c>
      <c r="R78" s="9">
        <f t="shared" si="15"/>
        <v>2362.668</v>
      </c>
      <c r="S78" s="9">
        <f t="shared" si="16"/>
        <v>2.362668</v>
      </c>
      <c r="T78" s="8">
        <v>25.637</v>
      </c>
      <c r="U78" s="9">
        <v>110086805</v>
      </c>
      <c r="V78" s="14">
        <v>3888568</v>
      </c>
      <c r="X78" s="6">
        <v>4</v>
      </c>
      <c r="Y78">
        <v>131072</v>
      </c>
      <c r="Z78">
        <v>1024</v>
      </c>
      <c r="AA78">
        <v>4</v>
      </c>
      <c r="AB78" s="8">
        <v>365.554</v>
      </c>
      <c r="AC78">
        <f t="shared" si="17"/>
        <v>0.365554</v>
      </c>
      <c r="AD78" s="8">
        <v>908.091</v>
      </c>
      <c r="AE78">
        <f t="shared" si="18"/>
        <v>0.908091</v>
      </c>
      <c r="AF78">
        <f t="shared" si="19"/>
        <v>1273.645</v>
      </c>
      <c r="AG78">
        <f t="shared" si="20"/>
        <v>1.273645</v>
      </c>
      <c r="AH78" s="8">
        <v>23.288</v>
      </c>
      <c r="AI78">
        <v>110639909</v>
      </c>
      <c r="AJ78">
        <v>4231800</v>
      </c>
      <c r="AK78" s="7"/>
    </row>
    <row r="79" spans="1:37">
      <c r="A79">
        <v>131072</v>
      </c>
      <c r="B79">
        <v>512</v>
      </c>
      <c r="C79">
        <v>114.276</v>
      </c>
      <c r="D79">
        <f t="shared" si="21"/>
        <v>0.114276</v>
      </c>
      <c r="E79">
        <v>1.957</v>
      </c>
      <c r="F79">
        <v>616</v>
      </c>
      <c r="G79">
        <f t="shared" si="22"/>
        <v>425815.479</v>
      </c>
      <c r="H79">
        <f t="shared" si="23"/>
        <v>425.815479</v>
      </c>
      <c r="I79" s="9"/>
      <c r="J79" s="13">
        <v>3</v>
      </c>
      <c r="K79" s="9">
        <v>131072</v>
      </c>
      <c r="L79" s="9">
        <v>512</v>
      </c>
      <c r="M79" s="9">
        <v>4</v>
      </c>
      <c r="N79" s="8">
        <v>558.547</v>
      </c>
      <c r="O79" s="9">
        <f t="shared" si="13"/>
        <v>0.558547</v>
      </c>
      <c r="P79" s="8">
        <v>1938.381</v>
      </c>
      <c r="Q79" s="9">
        <f t="shared" si="14"/>
        <v>1.938381</v>
      </c>
      <c r="R79" s="9">
        <f t="shared" si="15"/>
        <v>2496.928</v>
      </c>
      <c r="S79" s="9">
        <f t="shared" si="16"/>
        <v>2.496928</v>
      </c>
      <c r="T79" s="8">
        <v>25.63</v>
      </c>
      <c r="U79" s="9">
        <v>110271197</v>
      </c>
      <c r="V79" s="14">
        <v>4054040</v>
      </c>
      <c r="X79" s="6">
        <v>5</v>
      </c>
      <c r="Y79">
        <v>131072</v>
      </c>
      <c r="Z79">
        <v>2048</v>
      </c>
      <c r="AA79">
        <v>4</v>
      </c>
      <c r="AB79" s="8">
        <v>365.554</v>
      </c>
      <c r="AC79">
        <f t="shared" si="17"/>
        <v>0.365554</v>
      </c>
      <c r="AD79" s="8">
        <v>913.687</v>
      </c>
      <c r="AE79">
        <f t="shared" si="18"/>
        <v>0.913687</v>
      </c>
      <c r="AF79">
        <f t="shared" si="19"/>
        <v>1279.241</v>
      </c>
      <c r="AG79">
        <f t="shared" si="20"/>
        <v>1.279241</v>
      </c>
      <c r="AH79" s="8">
        <v>23.372</v>
      </c>
      <c r="AI79">
        <v>111377261</v>
      </c>
      <c r="AJ79">
        <v>4421848</v>
      </c>
      <c r="AK79" s="7"/>
    </row>
    <row r="80" spans="1:37">
      <c r="A80">
        <v>131072</v>
      </c>
      <c r="B80">
        <v>1024</v>
      </c>
      <c r="C80">
        <v>221.402</v>
      </c>
      <c r="D80">
        <f t="shared" si="21"/>
        <v>0.221402</v>
      </c>
      <c r="E80">
        <v>2.008</v>
      </c>
      <c r="F80">
        <v>616</v>
      </c>
      <c r="G80">
        <f t="shared" si="22"/>
        <v>425922.605</v>
      </c>
      <c r="H80">
        <f t="shared" si="23"/>
        <v>425.922605</v>
      </c>
      <c r="I80" s="9"/>
      <c r="J80" s="13">
        <v>4</v>
      </c>
      <c r="K80" s="9">
        <v>131072</v>
      </c>
      <c r="L80" s="9">
        <v>1024</v>
      </c>
      <c r="M80" s="9">
        <v>4</v>
      </c>
      <c r="N80" s="8">
        <v>558.547</v>
      </c>
      <c r="O80" s="9">
        <f t="shared" si="13"/>
        <v>0.558547</v>
      </c>
      <c r="P80" s="8">
        <v>1895.08</v>
      </c>
      <c r="Q80" s="9">
        <f t="shared" si="14"/>
        <v>1.89508</v>
      </c>
      <c r="R80" s="9">
        <f t="shared" si="15"/>
        <v>2453.627</v>
      </c>
      <c r="S80" s="9">
        <f t="shared" si="16"/>
        <v>2.453627</v>
      </c>
      <c r="T80" s="8">
        <v>30.676</v>
      </c>
      <c r="U80" s="9">
        <v>110639909</v>
      </c>
      <c r="V80" s="14">
        <v>4231800</v>
      </c>
      <c r="X80" s="6">
        <v>6</v>
      </c>
      <c r="Y80">
        <v>131072</v>
      </c>
      <c r="Z80">
        <v>4096</v>
      </c>
      <c r="AA80">
        <v>4</v>
      </c>
      <c r="AB80" s="8">
        <v>365.554</v>
      </c>
      <c r="AC80">
        <f t="shared" si="17"/>
        <v>0.365554</v>
      </c>
      <c r="AD80" s="8">
        <v>971.306</v>
      </c>
      <c r="AE80">
        <f t="shared" si="18"/>
        <v>0.971306</v>
      </c>
      <c r="AF80">
        <f t="shared" si="19"/>
        <v>1336.86</v>
      </c>
      <c r="AG80">
        <f t="shared" si="20"/>
        <v>1.33686</v>
      </c>
      <c r="AH80" s="8">
        <v>24.113</v>
      </c>
      <c r="AI80">
        <v>112851893</v>
      </c>
      <c r="AJ80">
        <v>4624184</v>
      </c>
      <c r="AK80" s="7"/>
    </row>
    <row r="81" spans="1:37">
      <c r="A81">
        <v>131072</v>
      </c>
      <c r="B81">
        <v>2048</v>
      </c>
      <c r="C81">
        <v>432.277</v>
      </c>
      <c r="D81">
        <f t="shared" si="21"/>
        <v>0.432277</v>
      </c>
      <c r="E81">
        <v>2.055</v>
      </c>
      <c r="F81">
        <v>616</v>
      </c>
      <c r="G81">
        <f t="shared" si="22"/>
        <v>426133.48</v>
      </c>
      <c r="H81">
        <f t="shared" si="23"/>
        <v>426.13348</v>
      </c>
      <c r="I81" s="9"/>
      <c r="J81" s="13">
        <v>5</v>
      </c>
      <c r="K81" s="9">
        <v>131072</v>
      </c>
      <c r="L81" s="9">
        <v>2048</v>
      </c>
      <c r="M81" s="9">
        <v>4</v>
      </c>
      <c r="N81" s="8">
        <v>558.547</v>
      </c>
      <c r="O81" s="9">
        <f t="shared" si="13"/>
        <v>0.558547</v>
      </c>
      <c r="P81" s="8">
        <v>1817.47</v>
      </c>
      <c r="Q81" s="9">
        <f t="shared" si="14"/>
        <v>1.81747</v>
      </c>
      <c r="R81" s="9">
        <f t="shared" si="15"/>
        <v>2376.017</v>
      </c>
      <c r="S81" s="9">
        <f t="shared" si="16"/>
        <v>2.376017</v>
      </c>
      <c r="T81" s="8">
        <v>32.977</v>
      </c>
      <c r="U81" s="9">
        <v>111377261</v>
      </c>
      <c r="V81" s="14">
        <v>4421848</v>
      </c>
      <c r="X81" s="6">
        <v>7</v>
      </c>
      <c r="Y81">
        <v>131072</v>
      </c>
      <c r="Z81">
        <v>8192</v>
      </c>
      <c r="AA81">
        <v>4</v>
      </c>
      <c r="AB81" s="8">
        <v>365.554</v>
      </c>
      <c r="AC81">
        <f t="shared" si="17"/>
        <v>0.365554</v>
      </c>
      <c r="AD81" s="8">
        <v>994.969</v>
      </c>
      <c r="AE81">
        <f t="shared" si="18"/>
        <v>0.994969</v>
      </c>
      <c r="AF81">
        <f t="shared" si="19"/>
        <v>1360.523</v>
      </c>
      <c r="AG81">
        <f t="shared" si="20"/>
        <v>1.360523</v>
      </c>
      <c r="AH81" s="8">
        <v>24.845</v>
      </c>
      <c r="AI81">
        <v>115801085</v>
      </c>
      <c r="AJ81">
        <v>4838808</v>
      </c>
      <c r="AK81" s="7"/>
    </row>
    <row r="82" spans="1:37">
      <c r="A82">
        <v>131072</v>
      </c>
      <c r="B82">
        <v>4096</v>
      </c>
      <c r="C82">
        <v>855.672</v>
      </c>
      <c r="D82">
        <f t="shared" si="21"/>
        <v>0.855672</v>
      </c>
      <c r="E82">
        <v>2</v>
      </c>
      <c r="F82">
        <v>616</v>
      </c>
      <c r="G82">
        <f t="shared" si="22"/>
        <v>426556.875</v>
      </c>
      <c r="H82">
        <f t="shared" si="23"/>
        <v>426.556875</v>
      </c>
      <c r="I82" s="9"/>
      <c r="J82" s="13">
        <v>6</v>
      </c>
      <c r="K82" s="9">
        <v>131072</v>
      </c>
      <c r="L82" s="9">
        <v>4096</v>
      </c>
      <c r="M82" s="9">
        <v>4</v>
      </c>
      <c r="N82" s="8">
        <v>558.547</v>
      </c>
      <c r="O82" s="9">
        <f t="shared" si="13"/>
        <v>0.558547</v>
      </c>
      <c r="P82" s="8">
        <v>1819.689</v>
      </c>
      <c r="Q82" s="9">
        <f t="shared" si="14"/>
        <v>1.819689</v>
      </c>
      <c r="R82" s="9">
        <f t="shared" si="15"/>
        <v>2378.236</v>
      </c>
      <c r="S82" s="9">
        <f t="shared" si="16"/>
        <v>2.378236</v>
      </c>
      <c r="T82" s="8">
        <v>40.261</v>
      </c>
      <c r="U82" s="9">
        <v>112851893</v>
      </c>
      <c r="V82" s="14">
        <v>4624184</v>
      </c>
      <c r="X82" s="6">
        <v>8</v>
      </c>
      <c r="Y82">
        <v>131072</v>
      </c>
      <c r="Z82">
        <v>16384</v>
      </c>
      <c r="AA82">
        <v>4</v>
      </c>
      <c r="AB82" s="8">
        <v>365.554</v>
      </c>
      <c r="AC82">
        <f t="shared" si="17"/>
        <v>0.365554</v>
      </c>
      <c r="AD82" s="8">
        <v>1020.144</v>
      </c>
      <c r="AE82">
        <f t="shared" si="18"/>
        <v>1.020144</v>
      </c>
      <c r="AF82">
        <f t="shared" si="19"/>
        <v>1385.698</v>
      </c>
      <c r="AG82">
        <f t="shared" si="20"/>
        <v>1.385698</v>
      </c>
      <c r="AH82" s="8">
        <v>25.468</v>
      </c>
      <c r="AI82">
        <v>121699397</v>
      </c>
      <c r="AJ82">
        <v>5065720</v>
      </c>
      <c r="AK82" s="7"/>
    </row>
    <row r="83" spans="1:37">
      <c r="A83">
        <v>131072</v>
      </c>
      <c r="B83">
        <v>8192</v>
      </c>
      <c r="C83">
        <v>1659.643</v>
      </c>
      <c r="D83">
        <f t="shared" si="21"/>
        <v>1.659643</v>
      </c>
      <c r="E83">
        <v>1.972</v>
      </c>
      <c r="F83">
        <v>616</v>
      </c>
      <c r="G83">
        <f t="shared" si="22"/>
        <v>427360.846</v>
      </c>
      <c r="H83">
        <f t="shared" si="23"/>
        <v>427.360846</v>
      </c>
      <c r="I83" s="9"/>
      <c r="J83" s="13">
        <v>7</v>
      </c>
      <c r="K83" s="9">
        <v>131072</v>
      </c>
      <c r="L83" s="9">
        <v>8192</v>
      </c>
      <c r="M83" s="9">
        <v>4</v>
      </c>
      <c r="N83" s="8">
        <v>558.547</v>
      </c>
      <c r="O83" s="9">
        <f t="shared" si="13"/>
        <v>0.558547</v>
      </c>
      <c r="P83" s="8">
        <v>1880.151</v>
      </c>
      <c r="Q83" s="9">
        <f t="shared" si="14"/>
        <v>1.880151</v>
      </c>
      <c r="R83" s="9">
        <f t="shared" si="15"/>
        <v>2438.698</v>
      </c>
      <c r="S83" s="9">
        <f t="shared" si="16"/>
        <v>2.438698</v>
      </c>
      <c r="T83" s="8">
        <v>37.032</v>
      </c>
      <c r="U83" s="9">
        <v>115801085</v>
      </c>
      <c r="V83" s="14">
        <v>4838808</v>
      </c>
      <c r="X83" s="6">
        <v>9</v>
      </c>
      <c r="Y83">
        <v>131072</v>
      </c>
      <c r="Z83">
        <v>32768</v>
      </c>
      <c r="AA83">
        <v>4</v>
      </c>
      <c r="AB83" s="8">
        <v>365.554</v>
      </c>
      <c r="AC83">
        <f t="shared" si="17"/>
        <v>0.365554</v>
      </c>
      <c r="AD83" s="8">
        <v>1108.94</v>
      </c>
      <c r="AE83">
        <f t="shared" si="18"/>
        <v>1.10894</v>
      </c>
      <c r="AF83">
        <f t="shared" si="19"/>
        <v>1474.494</v>
      </c>
      <c r="AG83">
        <f t="shared" si="20"/>
        <v>1.474494</v>
      </c>
      <c r="AH83" s="8">
        <v>26.604</v>
      </c>
      <c r="AI83">
        <v>133495949</v>
      </c>
      <c r="AJ83">
        <v>5304920</v>
      </c>
      <c r="AK83" s="7"/>
    </row>
    <row r="84" spans="1:37">
      <c r="A84">
        <v>131072</v>
      </c>
      <c r="B84">
        <v>16384</v>
      </c>
      <c r="C84">
        <v>3174.604</v>
      </c>
      <c r="D84">
        <f t="shared" si="21"/>
        <v>3.174604</v>
      </c>
      <c r="E84">
        <v>2.009</v>
      </c>
      <c r="F84">
        <v>616</v>
      </c>
      <c r="G84">
        <f t="shared" si="22"/>
        <v>428875.807</v>
      </c>
      <c r="H84">
        <f t="shared" si="23"/>
        <v>428.875807</v>
      </c>
      <c r="I84" s="9"/>
      <c r="J84" s="13">
        <v>8</v>
      </c>
      <c r="K84" s="9">
        <v>131072</v>
      </c>
      <c r="L84" s="9">
        <v>16384</v>
      </c>
      <c r="M84" s="9">
        <v>4</v>
      </c>
      <c r="N84" s="8">
        <v>558.547</v>
      </c>
      <c r="O84" s="9">
        <f t="shared" si="13"/>
        <v>0.558547</v>
      </c>
      <c r="P84" s="8">
        <v>1872.549</v>
      </c>
      <c r="Q84" s="9">
        <f t="shared" si="14"/>
        <v>1.872549</v>
      </c>
      <c r="R84" s="9">
        <f t="shared" si="15"/>
        <v>2431.096</v>
      </c>
      <c r="S84" s="9">
        <f t="shared" si="16"/>
        <v>2.431096</v>
      </c>
      <c r="T84" s="8">
        <v>37.832</v>
      </c>
      <c r="U84" s="9">
        <v>121699397</v>
      </c>
      <c r="V84" s="14">
        <v>5065720</v>
      </c>
      <c r="X84" s="6">
        <v>10</v>
      </c>
      <c r="Y84">
        <v>131072</v>
      </c>
      <c r="Z84">
        <v>65536</v>
      </c>
      <c r="AA84">
        <v>4</v>
      </c>
      <c r="AB84" s="8">
        <v>365.554</v>
      </c>
      <c r="AC84">
        <f t="shared" si="17"/>
        <v>0.365554</v>
      </c>
      <c r="AD84" s="8">
        <v>1336.592</v>
      </c>
      <c r="AE84">
        <f t="shared" si="18"/>
        <v>1.336592</v>
      </c>
      <c r="AF84">
        <f t="shared" si="19"/>
        <v>1702.146</v>
      </c>
      <c r="AG84">
        <f t="shared" si="20"/>
        <v>1.702146</v>
      </c>
      <c r="AH84" s="8">
        <v>26.57</v>
      </c>
      <c r="AI84">
        <v>157088981</v>
      </c>
      <c r="AJ84">
        <v>5556408</v>
      </c>
      <c r="AK84" s="7"/>
    </row>
    <row r="85" spans="1:37">
      <c r="A85">
        <v>131072</v>
      </c>
      <c r="B85">
        <v>32768</v>
      </c>
      <c r="C85">
        <v>5948.632</v>
      </c>
      <c r="D85">
        <f t="shared" si="21"/>
        <v>5.948632</v>
      </c>
      <c r="E85">
        <v>2.082</v>
      </c>
      <c r="F85">
        <v>616</v>
      </c>
      <c r="G85">
        <f t="shared" si="22"/>
        <v>431649.835</v>
      </c>
      <c r="H85">
        <f t="shared" si="23"/>
        <v>431.649835</v>
      </c>
      <c r="I85" s="9"/>
      <c r="J85" s="13">
        <v>9</v>
      </c>
      <c r="K85" s="9">
        <v>131072</v>
      </c>
      <c r="L85" s="9">
        <v>32768</v>
      </c>
      <c r="M85" s="9">
        <v>4</v>
      </c>
      <c r="N85" s="8">
        <v>558.547</v>
      </c>
      <c r="O85" s="9">
        <f t="shared" si="13"/>
        <v>0.558547</v>
      </c>
      <c r="P85" s="8">
        <v>1920.896</v>
      </c>
      <c r="Q85" s="9">
        <f t="shared" si="14"/>
        <v>1.920896</v>
      </c>
      <c r="R85" s="9">
        <f t="shared" si="15"/>
        <v>2479.443</v>
      </c>
      <c r="S85" s="9">
        <f t="shared" si="16"/>
        <v>2.479443</v>
      </c>
      <c r="T85" s="8">
        <v>32.135</v>
      </c>
      <c r="U85" s="9">
        <v>133495949</v>
      </c>
      <c r="V85" s="14">
        <v>5304920</v>
      </c>
      <c r="X85" s="6">
        <v>11</v>
      </c>
      <c r="Y85">
        <v>131072</v>
      </c>
      <c r="Z85">
        <v>131072</v>
      </c>
      <c r="AA85">
        <v>4</v>
      </c>
      <c r="AB85" s="8">
        <v>365.554</v>
      </c>
      <c r="AC85">
        <f t="shared" ref="AC85:AC116" si="24">AB85/1000</f>
        <v>0.365554</v>
      </c>
      <c r="AD85" s="8">
        <v>1728.163</v>
      </c>
      <c r="AE85">
        <f t="shared" ref="AE85:AE116" si="25">AD85/1000</f>
        <v>1.728163</v>
      </c>
      <c r="AF85">
        <f t="shared" ref="AF85:AF116" si="26">AB85+AD85</f>
        <v>2093.717</v>
      </c>
      <c r="AG85">
        <f t="shared" ref="AG85:AG116" si="27">AC85+AE85</f>
        <v>2.093717</v>
      </c>
      <c r="AH85" s="8">
        <v>26.414</v>
      </c>
      <c r="AI85">
        <v>204274973</v>
      </c>
      <c r="AJ85">
        <v>5820184</v>
      </c>
      <c r="AK85" s="7"/>
    </row>
    <row r="86" spans="1:37">
      <c r="A86">
        <v>131072</v>
      </c>
      <c r="B86">
        <v>65536</v>
      </c>
      <c r="C86">
        <v>10711.362</v>
      </c>
      <c r="D86">
        <f t="shared" si="21"/>
        <v>10.711362</v>
      </c>
      <c r="E86">
        <v>1.973</v>
      </c>
      <c r="F86">
        <v>616</v>
      </c>
      <c r="G86">
        <f t="shared" si="22"/>
        <v>436412.565</v>
      </c>
      <c r="H86">
        <f t="shared" si="23"/>
        <v>436.412565</v>
      </c>
      <c r="I86" s="9"/>
      <c r="J86" s="13">
        <v>10</v>
      </c>
      <c r="K86" s="9">
        <v>131072</v>
      </c>
      <c r="L86" s="9">
        <v>65536</v>
      </c>
      <c r="M86" s="9">
        <v>4</v>
      </c>
      <c r="N86" s="8">
        <v>558.547</v>
      </c>
      <c r="O86" s="9">
        <f t="shared" si="13"/>
        <v>0.558547</v>
      </c>
      <c r="P86" s="8">
        <v>1925.619</v>
      </c>
      <c r="Q86" s="9">
        <f t="shared" si="14"/>
        <v>1.925619</v>
      </c>
      <c r="R86" s="9">
        <f t="shared" si="15"/>
        <v>2484.166</v>
      </c>
      <c r="S86" s="9">
        <f t="shared" si="16"/>
        <v>2.484166</v>
      </c>
      <c r="T86" s="8">
        <v>32.43</v>
      </c>
      <c r="U86" s="9">
        <v>157088981</v>
      </c>
      <c r="V86" s="14">
        <v>5556408</v>
      </c>
      <c r="X86" s="6"/>
      <c r="AK86" s="7"/>
    </row>
    <row r="87" spans="1:37">
      <c r="C87">
        <v>17626.015</v>
      </c>
      <c r="D87">
        <f t="shared" si="21"/>
        <v>17.626015</v>
      </c>
      <c r="E87">
        <v>1.976</v>
      </c>
      <c r="G87">
        <f t="shared" si="22"/>
        <v>443327.218</v>
      </c>
      <c r="H87">
        <f t="shared" si="23"/>
        <v>443.327218</v>
      </c>
      <c r="I87" s="9"/>
      <c r="J87" s="13">
        <v>11</v>
      </c>
      <c r="K87" s="9">
        <v>131072</v>
      </c>
      <c r="L87" s="9">
        <v>131072</v>
      </c>
      <c r="M87" s="9">
        <v>4</v>
      </c>
      <c r="N87" s="8">
        <v>558.547</v>
      </c>
      <c r="O87" s="9">
        <f t="shared" si="13"/>
        <v>0.558547</v>
      </c>
      <c r="P87" s="8">
        <v>2142.824</v>
      </c>
      <c r="Q87" s="9">
        <f t="shared" si="14"/>
        <v>2.142824</v>
      </c>
      <c r="R87" s="9">
        <f t="shared" si="15"/>
        <v>2701.371</v>
      </c>
      <c r="S87" s="9">
        <f t="shared" si="16"/>
        <v>2.701371</v>
      </c>
      <c r="T87" s="8">
        <v>41.526</v>
      </c>
      <c r="U87" s="9">
        <v>204274973</v>
      </c>
      <c r="V87" s="14">
        <v>5820184</v>
      </c>
      <c r="X87" s="6"/>
      <c r="AK87" s="7"/>
    </row>
    <row r="88" spans="1:37">
      <c r="I88" s="9"/>
      <c r="J88" s="13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4"/>
      <c r="X88" s="6"/>
      <c r="AK88" s="7"/>
    </row>
    <row r="89" spans="1:37">
      <c r="A89" t="s">
        <v>3</v>
      </c>
      <c r="I89" s="9"/>
      <c r="J89" s="13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4"/>
      <c r="X89" s="6"/>
      <c r="AK89" s="7"/>
    </row>
    <row r="90" spans="1:37">
      <c r="A90" t="s">
        <v>17</v>
      </c>
      <c r="I90" s="9"/>
      <c r="J90" s="13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4"/>
      <c r="X90" s="6"/>
      <c r="AK90" s="7"/>
    </row>
    <row r="91" spans="1:37">
      <c r="A91" t="s">
        <v>29</v>
      </c>
      <c r="I91" s="9"/>
      <c r="J91" s="13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4"/>
      <c r="X91" s="6"/>
      <c r="AK91" s="7"/>
    </row>
    <row r="92" spans="1:37">
      <c r="I92" s="9"/>
      <c r="J92" s="13"/>
      <c r="K92" s="8"/>
      <c r="L92" s="8"/>
      <c r="M92" s="9"/>
      <c r="N92" s="9"/>
      <c r="O92" s="9"/>
      <c r="P92" s="9"/>
      <c r="Q92" s="9"/>
      <c r="R92" s="9"/>
      <c r="S92" s="9"/>
      <c r="T92" s="9"/>
      <c r="U92" s="9"/>
      <c r="V92" s="14"/>
      <c r="X92" s="6"/>
      <c r="AK92" s="7"/>
    </row>
    <row r="93" spans="1:37">
      <c r="A93" t="s">
        <v>5</v>
      </c>
      <c r="B93" t="s">
        <v>24</v>
      </c>
      <c r="C93" t="s">
        <v>10</v>
      </c>
      <c r="E93" t="s">
        <v>14</v>
      </c>
      <c r="F93" t="s">
        <v>16</v>
      </c>
      <c r="I93" s="9"/>
      <c r="J93" s="13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4"/>
      <c r="X93" s="6" t="s">
        <v>4</v>
      </c>
      <c r="Y93" t="s">
        <v>5</v>
      </c>
      <c r="Z93" t="s">
        <v>6</v>
      </c>
      <c r="AA93" t="s">
        <v>7</v>
      </c>
      <c r="AB93" t="s">
        <v>8</v>
      </c>
      <c r="AC93" t="s">
        <v>9</v>
      </c>
      <c r="AD93" t="s">
        <v>10</v>
      </c>
      <c r="AE93" t="s">
        <v>11</v>
      </c>
      <c r="AF93" t="s">
        <v>12</v>
      </c>
      <c r="AG93" t="s">
        <v>13</v>
      </c>
      <c r="AH93" t="s">
        <v>14</v>
      </c>
      <c r="AI93" t="s">
        <v>15</v>
      </c>
      <c r="AJ93" t="s">
        <v>16</v>
      </c>
      <c r="AK93" s="7"/>
    </row>
    <row r="94" spans="1:37">
      <c r="A94" t="s">
        <v>21</v>
      </c>
      <c r="I94" s="9"/>
      <c r="J94" s="13" t="s">
        <v>4</v>
      </c>
      <c r="K94" s="9" t="s">
        <v>5</v>
      </c>
      <c r="L94" s="9" t="s">
        <v>6</v>
      </c>
      <c r="M94" s="9" t="s">
        <v>7</v>
      </c>
      <c r="N94" s="9" t="s">
        <v>22</v>
      </c>
      <c r="O94" s="9"/>
      <c r="P94" s="9" t="s">
        <v>10</v>
      </c>
      <c r="Q94" s="9"/>
      <c r="R94" s="9"/>
      <c r="S94" s="9"/>
      <c r="T94" s="9" t="s">
        <v>14</v>
      </c>
      <c r="U94" s="9" t="s">
        <v>15</v>
      </c>
      <c r="V94" s="14" t="s">
        <v>16</v>
      </c>
      <c r="X94" s="6">
        <v>0</v>
      </c>
      <c r="Y94">
        <v>262144</v>
      </c>
      <c r="Z94">
        <v>64</v>
      </c>
      <c r="AA94">
        <v>4</v>
      </c>
      <c r="AB94" s="8">
        <v>695.771</v>
      </c>
      <c r="AC94">
        <f t="shared" si="24"/>
        <v>0.695771</v>
      </c>
      <c r="AD94" s="8">
        <v>1838.899</v>
      </c>
      <c r="AE94">
        <f t="shared" si="25"/>
        <v>1.838899</v>
      </c>
      <c r="AF94">
        <f t="shared" si="26"/>
        <v>2534.67</v>
      </c>
      <c r="AG94">
        <f t="shared" si="27"/>
        <v>2.53467</v>
      </c>
      <c r="AH94" s="8">
        <v>31.873</v>
      </c>
      <c r="AI94">
        <v>219086957</v>
      </c>
      <c r="AJ94">
        <v>3872600</v>
      </c>
      <c r="AK94" s="7"/>
    </row>
    <row r="95" spans="1:37">
      <c r="A95">
        <v>262144</v>
      </c>
      <c r="B95">
        <v>64</v>
      </c>
      <c r="C95">
        <v>16.861</v>
      </c>
      <c r="D95">
        <f t="shared" ref="D95:D107" si="28">C95/1000</f>
        <v>0.016861</v>
      </c>
      <c r="E95">
        <v>1.975</v>
      </c>
      <c r="F95">
        <v>616</v>
      </c>
      <c r="G95">
        <f>C95+896207.359</f>
        <v>896224.22</v>
      </c>
      <c r="H95">
        <f>G95/1000</f>
        <v>896.22422</v>
      </c>
      <c r="I95" s="9"/>
      <c r="J95" s="13">
        <v>0</v>
      </c>
      <c r="K95" s="9">
        <v>262144</v>
      </c>
      <c r="L95" s="9">
        <v>64</v>
      </c>
      <c r="M95" s="9">
        <v>4</v>
      </c>
      <c r="N95" s="8">
        <v>1015.288</v>
      </c>
      <c r="O95" s="9">
        <f t="shared" ref="O95:O119" si="29">N95/1000</f>
        <v>1.015288</v>
      </c>
      <c r="P95" s="8">
        <v>3719.515</v>
      </c>
      <c r="Q95" s="9">
        <f t="shared" ref="Q95:Q119" si="30">P95/1000</f>
        <v>3.719515</v>
      </c>
      <c r="R95" s="9">
        <f t="shared" ref="R95:R119" si="31">N95+P95</f>
        <v>4734.803</v>
      </c>
      <c r="S95" s="9">
        <f t="shared" ref="S95:S119" si="32">R95/1000</f>
        <v>4.734803</v>
      </c>
      <c r="T95" s="8">
        <v>21.962</v>
      </c>
      <c r="U95" s="9">
        <v>219086957</v>
      </c>
      <c r="V95" s="14">
        <v>3872600</v>
      </c>
      <c r="X95" s="6">
        <v>1</v>
      </c>
      <c r="Y95">
        <v>262144</v>
      </c>
      <c r="Z95">
        <v>128</v>
      </c>
      <c r="AA95">
        <v>4</v>
      </c>
      <c r="AB95" s="8">
        <v>695.771</v>
      </c>
      <c r="AC95">
        <f t="shared" si="24"/>
        <v>0.695771</v>
      </c>
      <c r="AD95" s="8">
        <v>1959.949</v>
      </c>
      <c r="AE95">
        <f t="shared" si="25"/>
        <v>1.959949</v>
      </c>
      <c r="AF95">
        <f t="shared" si="26"/>
        <v>2655.72</v>
      </c>
      <c r="AG95">
        <f t="shared" si="27"/>
        <v>2.65572</v>
      </c>
      <c r="AH95" s="8">
        <v>27.057</v>
      </c>
      <c r="AI95">
        <v>219133109</v>
      </c>
      <c r="AJ95">
        <v>4013496</v>
      </c>
      <c r="AK95" s="7"/>
    </row>
    <row r="96" spans="1:37">
      <c r="A96">
        <v>262144</v>
      </c>
      <c r="B96">
        <v>128</v>
      </c>
      <c r="C96">
        <v>31.278</v>
      </c>
      <c r="D96">
        <f t="shared" si="28"/>
        <v>0.031278</v>
      </c>
      <c r="E96">
        <v>2.042</v>
      </c>
      <c r="F96">
        <v>616</v>
      </c>
      <c r="G96">
        <f t="shared" ref="G96:G107" si="33">C96+896207.359</f>
        <v>896238.637</v>
      </c>
      <c r="H96">
        <f t="shared" ref="H96:H107" si="34">G96/1000</f>
        <v>896.238637</v>
      </c>
      <c r="I96" s="9"/>
      <c r="J96" s="13">
        <v>1</v>
      </c>
      <c r="K96" s="9">
        <v>262144</v>
      </c>
      <c r="L96" s="9">
        <v>128</v>
      </c>
      <c r="M96" s="9">
        <v>4</v>
      </c>
      <c r="N96" s="8">
        <v>1015.288</v>
      </c>
      <c r="O96" s="9">
        <f t="shared" si="29"/>
        <v>1.015288</v>
      </c>
      <c r="P96" s="8">
        <v>3859.224</v>
      </c>
      <c r="Q96" s="9">
        <f t="shared" si="30"/>
        <v>3.859224</v>
      </c>
      <c r="R96" s="9">
        <f t="shared" si="31"/>
        <v>4874.512</v>
      </c>
      <c r="S96" s="9">
        <f t="shared" si="32"/>
        <v>4.874512</v>
      </c>
      <c r="T96" s="8">
        <v>25.33</v>
      </c>
      <c r="U96" s="9">
        <v>219133109</v>
      </c>
      <c r="V96" s="14">
        <v>4013496</v>
      </c>
      <c r="X96" s="6">
        <v>2</v>
      </c>
      <c r="Y96">
        <v>262144</v>
      </c>
      <c r="Z96">
        <v>256</v>
      </c>
      <c r="AA96">
        <v>4</v>
      </c>
      <c r="AB96" s="8">
        <v>695.771</v>
      </c>
      <c r="AC96">
        <f t="shared" si="24"/>
        <v>0.695771</v>
      </c>
      <c r="AD96" s="8">
        <v>1941.827</v>
      </c>
      <c r="AE96">
        <f t="shared" si="25"/>
        <v>1.941827</v>
      </c>
      <c r="AF96">
        <f t="shared" si="26"/>
        <v>2637.598</v>
      </c>
      <c r="AG96">
        <f t="shared" si="27"/>
        <v>2.637598</v>
      </c>
      <c r="AH96" s="8">
        <v>28.972</v>
      </c>
      <c r="AI96">
        <v>219225341</v>
      </c>
      <c r="AJ96">
        <v>4166680</v>
      </c>
      <c r="AK96" s="7"/>
    </row>
    <row r="97" spans="1:40">
      <c r="A97">
        <v>262144</v>
      </c>
      <c r="B97">
        <v>256</v>
      </c>
      <c r="C97">
        <v>60.017</v>
      </c>
      <c r="D97">
        <f t="shared" si="28"/>
        <v>0.060017</v>
      </c>
      <c r="E97">
        <v>1.956</v>
      </c>
      <c r="F97">
        <v>616</v>
      </c>
      <c r="G97">
        <f t="shared" si="33"/>
        <v>896267.376</v>
      </c>
      <c r="H97">
        <f t="shared" si="34"/>
        <v>896.267376</v>
      </c>
      <c r="I97" s="9"/>
      <c r="J97" s="13">
        <v>2</v>
      </c>
      <c r="K97" s="9">
        <v>262144</v>
      </c>
      <c r="L97" s="9">
        <v>256</v>
      </c>
      <c r="M97" s="9">
        <v>4</v>
      </c>
      <c r="N97" s="8">
        <v>1015.288</v>
      </c>
      <c r="O97" s="9">
        <f t="shared" si="29"/>
        <v>1.015288</v>
      </c>
      <c r="P97" s="8">
        <v>3847.172</v>
      </c>
      <c r="Q97" s="9">
        <f t="shared" si="30"/>
        <v>3.847172</v>
      </c>
      <c r="R97" s="9">
        <f t="shared" si="31"/>
        <v>4862.46</v>
      </c>
      <c r="S97" s="9">
        <f t="shared" si="32"/>
        <v>4.86246</v>
      </c>
      <c r="T97" s="8">
        <v>45.359</v>
      </c>
      <c r="U97" s="9">
        <v>219225341</v>
      </c>
      <c r="V97" s="14">
        <v>4166680</v>
      </c>
      <c r="X97" s="6">
        <v>3</v>
      </c>
      <c r="Y97">
        <v>262144</v>
      </c>
      <c r="Z97">
        <v>512</v>
      </c>
      <c r="AA97">
        <v>4</v>
      </c>
      <c r="AB97" s="8">
        <v>695.771</v>
      </c>
      <c r="AC97">
        <f t="shared" si="24"/>
        <v>0.695771</v>
      </c>
      <c r="AD97" s="8">
        <v>2004.008</v>
      </c>
      <c r="AE97">
        <f t="shared" si="25"/>
        <v>2.004008</v>
      </c>
      <c r="AF97">
        <f t="shared" si="26"/>
        <v>2699.779</v>
      </c>
      <c r="AG97">
        <f t="shared" si="27"/>
        <v>2.699779</v>
      </c>
      <c r="AH97" s="8">
        <v>28.685</v>
      </c>
      <c r="AI97">
        <v>219409733</v>
      </c>
      <c r="AJ97">
        <v>4332152</v>
      </c>
      <c r="AK97" s="7"/>
    </row>
    <row r="98" spans="1:40">
      <c r="A98">
        <v>262144</v>
      </c>
      <c r="B98">
        <v>512</v>
      </c>
      <c r="C98">
        <v>114.648</v>
      </c>
      <c r="D98">
        <f t="shared" si="28"/>
        <v>0.114648</v>
      </c>
      <c r="E98">
        <v>1.976</v>
      </c>
      <c r="F98">
        <v>616</v>
      </c>
      <c r="G98">
        <f t="shared" si="33"/>
        <v>896322.007</v>
      </c>
      <c r="H98">
        <f t="shared" si="34"/>
        <v>896.322007</v>
      </c>
      <c r="I98" s="9"/>
      <c r="J98" s="13">
        <v>3</v>
      </c>
      <c r="K98" s="9">
        <v>262144</v>
      </c>
      <c r="L98" s="9">
        <v>512</v>
      </c>
      <c r="M98" s="9">
        <v>4</v>
      </c>
      <c r="N98" s="8">
        <v>1015.288</v>
      </c>
      <c r="O98" s="9">
        <f t="shared" si="29"/>
        <v>1.015288</v>
      </c>
      <c r="P98" s="8">
        <v>3812.291</v>
      </c>
      <c r="Q98" s="9">
        <f t="shared" si="30"/>
        <v>3.812291</v>
      </c>
      <c r="R98" s="9">
        <f t="shared" si="31"/>
        <v>4827.579</v>
      </c>
      <c r="S98" s="9">
        <f t="shared" si="32"/>
        <v>4.827579</v>
      </c>
      <c r="T98" s="8">
        <v>35.998</v>
      </c>
      <c r="U98" s="9">
        <v>219409733</v>
      </c>
      <c r="V98" s="14">
        <v>4332152</v>
      </c>
      <c r="X98" s="6">
        <v>4</v>
      </c>
      <c r="Y98">
        <v>262144</v>
      </c>
      <c r="Z98">
        <v>1024</v>
      </c>
      <c r="AA98">
        <v>4</v>
      </c>
      <c r="AB98" s="8">
        <v>695.771</v>
      </c>
      <c r="AC98">
        <f t="shared" si="24"/>
        <v>0.695771</v>
      </c>
      <c r="AD98" s="8">
        <v>1898.524</v>
      </c>
      <c r="AE98">
        <f t="shared" si="25"/>
        <v>1.898524</v>
      </c>
      <c r="AF98">
        <f t="shared" si="26"/>
        <v>2594.295</v>
      </c>
      <c r="AG98">
        <f t="shared" si="27"/>
        <v>2.594295</v>
      </c>
      <c r="AH98" s="8">
        <v>35.598</v>
      </c>
      <c r="AI98">
        <v>219778445</v>
      </c>
      <c r="AJ98">
        <v>4509912</v>
      </c>
      <c r="AK98" s="7"/>
    </row>
    <row r="99" spans="1:40">
      <c r="A99">
        <v>262144</v>
      </c>
      <c r="B99">
        <v>1024</v>
      </c>
      <c r="C99">
        <v>224.629</v>
      </c>
      <c r="D99">
        <f t="shared" si="28"/>
        <v>0.224629</v>
      </c>
      <c r="E99">
        <v>2.022</v>
      </c>
      <c r="F99">
        <v>616</v>
      </c>
      <c r="G99">
        <f t="shared" si="33"/>
        <v>896431.988</v>
      </c>
      <c r="H99">
        <f t="shared" si="34"/>
        <v>896.431988</v>
      </c>
      <c r="I99" s="9"/>
      <c r="J99" s="13">
        <v>4</v>
      </c>
      <c r="K99" s="9">
        <v>262144</v>
      </c>
      <c r="L99" s="9">
        <v>1024</v>
      </c>
      <c r="M99" s="9">
        <v>4</v>
      </c>
      <c r="N99" s="8">
        <v>1015.288</v>
      </c>
      <c r="O99" s="9">
        <f t="shared" si="29"/>
        <v>1.015288</v>
      </c>
      <c r="P99" s="8">
        <v>3777.649</v>
      </c>
      <c r="Q99" s="9">
        <f t="shared" si="30"/>
        <v>3.777649</v>
      </c>
      <c r="R99" s="9">
        <f t="shared" si="31"/>
        <v>4792.937</v>
      </c>
      <c r="S99" s="9">
        <f t="shared" si="32"/>
        <v>4.792937</v>
      </c>
      <c r="T99" s="8">
        <v>23.125</v>
      </c>
      <c r="U99" s="9">
        <v>219778445</v>
      </c>
      <c r="V99" s="14">
        <v>4509912</v>
      </c>
      <c r="X99" s="6">
        <v>5</v>
      </c>
      <c r="Y99">
        <v>262144</v>
      </c>
      <c r="Z99">
        <v>2048</v>
      </c>
      <c r="AA99">
        <v>4</v>
      </c>
      <c r="AB99" s="8">
        <v>695.771</v>
      </c>
      <c r="AC99">
        <f t="shared" si="24"/>
        <v>0.695771</v>
      </c>
      <c r="AD99" s="8">
        <v>1853.377</v>
      </c>
      <c r="AE99">
        <f t="shared" si="25"/>
        <v>1.853377</v>
      </c>
      <c r="AF99">
        <f t="shared" si="26"/>
        <v>2549.148</v>
      </c>
      <c r="AG99">
        <f t="shared" si="27"/>
        <v>2.549148</v>
      </c>
      <c r="AH99" s="8">
        <v>26.583</v>
      </c>
      <c r="AI99">
        <v>220515797</v>
      </c>
      <c r="AJ99">
        <v>4699960</v>
      </c>
      <c r="AK99" s="7"/>
    </row>
    <row r="100" spans="1:40">
      <c r="A100">
        <v>262144</v>
      </c>
      <c r="B100">
        <v>2048</v>
      </c>
      <c r="C100">
        <v>432.922</v>
      </c>
      <c r="D100">
        <f t="shared" si="28"/>
        <v>0.432922</v>
      </c>
      <c r="E100">
        <v>2.001</v>
      </c>
      <c r="F100">
        <v>616</v>
      </c>
      <c r="G100">
        <f t="shared" si="33"/>
        <v>896640.281</v>
      </c>
      <c r="H100">
        <f t="shared" si="34"/>
        <v>896.640281</v>
      </c>
      <c r="I100" s="9"/>
      <c r="J100" s="13">
        <v>5</v>
      </c>
      <c r="K100" s="9">
        <v>262144</v>
      </c>
      <c r="L100" s="9">
        <v>2048</v>
      </c>
      <c r="M100" s="9">
        <v>4</v>
      </c>
      <c r="N100" s="8">
        <v>1015.288</v>
      </c>
      <c r="O100" s="9">
        <f t="shared" si="29"/>
        <v>1.015288</v>
      </c>
      <c r="P100" s="8">
        <v>3848.6</v>
      </c>
      <c r="Q100" s="9">
        <f t="shared" si="30"/>
        <v>3.8486</v>
      </c>
      <c r="R100" s="9">
        <f t="shared" si="31"/>
        <v>4863.888</v>
      </c>
      <c r="S100" s="9">
        <f t="shared" si="32"/>
        <v>4.863888</v>
      </c>
      <c r="T100" s="8">
        <v>34.206</v>
      </c>
      <c r="U100" s="9">
        <v>220515797</v>
      </c>
      <c r="V100" s="14">
        <v>4699960</v>
      </c>
      <c r="X100" s="6">
        <v>6</v>
      </c>
      <c r="Y100">
        <v>262144</v>
      </c>
      <c r="Z100">
        <v>4096</v>
      </c>
      <c r="AA100">
        <v>4</v>
      </c>
      <c r="AB100" s="8">
        <v>695.771</v>
      </c>
      <c r="AC100">
        <f t="shared" si="24"/>
        <v>0.695771</v>
      </c>
      <c r="AD100" s="8">
        <v>1846.396</v>
      </c>
      <c r="AE100">
        <f t="shared" si="25"/>
        <v>1.846396</v>
      </c>
      <c r="AF100">
        <f t="shared" si="26"/>
        <v>2542.167</v>
      </c>
      <c r="AG100">
        <f t="shared" si="27"/>
        <v>2.542167</v>
      </c>
      <c r="AH100" s="8">
        <v>28.734</v>
      </c>
      <c r="AI100">
        <v>221990429</v>
      </c>
      <c r="AJ100">
        <v>4902296</v>
      </c>
      <c r="AK100" s="7"/>
    </row>
    <row r="101" spans="1:40">
      <c r="A101">
        <v>262144</v>
      </c>
      <c r="B101">
        <v>4096</v>
      </c>
      <c r="C101">
        <v>855.017</v>
      </c>
      <c r="D101">
        <f t="shared" si="28"/>
        <v>0.855017</v>
      </c>
      <c r="E101">
        <v>1.988</v>
      </c>
      <c r="F101">
        <v>616</v>
      </c>
      <c r="G101">
        <f t="shared" si="33"/>
        <v>897062.376</v>
      </c>
      <c r="H101">
        <f t="shared" si="34"/>
        <v>897.062376</v>
      </c>
      <c r="I101" s="9"/>
      <c r="J101" s="13">
        <v>6</v>
      </c>
      <c r="K101" s="9">
        <v>262144</v>
      </c>
      <c r="L101" s="9">
        <v>4096</v>
      </c>
      <c r="M101" s="9">
        <v>4</v>
      </c>
      <c r="N101" s="8">
        <v>1015.288</v>
      </c>
      <c r="O101" s="9">
        <f t="shared" si="29"/>
        <v>1.015288</v>
      </c>
      <c r="P101" s="8">
        <v>3967.598</v>
      </c>
      <c r="Q101" s="9">
        <f t="shared" si="30"/>
        <v>3.967598</v>
      </c>
      <c r="R101" s="9">
        <f t="shared" si="31"/>
        <v>4982.886</v>
      </c>
      <c r="S101" s="9">
        <f t="shared" si="32"/>
        <v>4.982886</v>
      </c>
      <c r="T101" s="8">
        <v>28.191</v>
      </c>
      <c r="U101" s="9">
        <v>221990429</v>
      </c>
      <c r="V101" s="14">
        <v>4902296</v>
      </c>
      <c r="X101" s="6">
        <v>7</v>
      </c>
      <c r="Y101">
        <v>262144</v>
      </c>
      <c r="Z101">
        <v>8192</v>
      </c>
      <c r="AA101">
        <v>4</v>
      </c>
      <c r="AB101" s="8">
        <v>695.771</v>
      </c>
      <c r="AC101">
        <f t="shared" si="24"/>
        <v>0.695771</v>
      </c>
      <c r="AD101" s="8">
        <v>2031.019</v>
      </c>
      <c r="AE101">
        <f t="shared" si="25"/>
        <v>2.031019</v>
      </c>
      <c r="AF101">
        <f t="shared" si="26"/>
        <v>2726.79</v>
      </c>
      <c r="AG101">
        <f t="shared" si="27"/>
        <v>2.72679</v>
      </c>
      <c r="AH101" s="8">
        <v>26.677</v>
      </c>
      <c r="AI101">
        <v>224939621</v>
      </c>
      <c r="AJ101">
        <v>5116920</v>
      </c>
      <c r="AK101" s="7"/>
    </row>
    <row r="102" spans="1:40">
      <c r="A102">
        <v>262144</v>
      </c>
      <c r="B102">
        <v>8192</v>
      </c>
      <c r="C102">
        <v>1669.427</v>
      </c>
      <c r="D102">
        <f t="shared" si="28"/>
        <v>1.669427</v>
      </c>
      <c r="E102">
        <v>1.998</v>
      </c>
      <c r="F102">
        <v>616</v>
      </c>
      <c r="G102">
        <f t="shared" si="33"/>
        <v>897876.786</v>
      </c>
      <c r="H102">
        <f t="shared" si="34"/>
        <v>897.876786</v>
      </c>
      <c r="I102" s="9"/>
      <c r="J102" s="13">
        <v>7</v>
      </c>
      <c r="K102" s="9">
        <v>262144</v>
      </c>
      <c r="L102" s="9">
        <v>8192</v>
      </c>
      <c r="M102" s="9">
        <v>4</v>
      </c>
      <c r="N102" s="8">
        <v>1015.288</v>
      </c>
      <c r="O102" s="9">
        <f t="shared" si="29"/>
        <v>1.015288</v>
      </c>
      <c r="P102" s="8">
        <v>4017.701</v>
      </c>
      <c r="Q102" s="9">
        <f t="shared" si="30"/>
        <v>4.017701</v>
      </c>
      <c r="R102" s="9">
        <f t="shared" si="31"/>
        <v>5032.989</v>
      </c>
      <c r="S102" s="9">
        <f t="shared" si="32"/>
        <v>5.032989</v>
      </c>
      <c r="T102" s="8">
        <v>36.677</v>
      </c>
      <c r="U102" s="9">
        <v>224939621</v>
      </c>
      <c r="V102" s="14">
        <v>5116920</v>
      </c>
      <c r="X102" s="6">
        <v>8</v>
      </c>
      <c r="Y102">
        <v>262144</v>
      </c>
      <c r="Z102">
        <v>16384</v>
      </c>
      <c r="AA102">
        <v>4</v>
      </c>
      <c r="AB102" s="8">
        <v>695.771</v>
      </c>
      <c r="AC102">
        <f t="shared" si="24"/>
        <v>0.695771</v>
      </c>
      <c r="AD102" s="8">
        <v>2036.604</v>
      </c>
      <c r="AE102">
        <f t="shared" si="25"/>
        <v>2.036604</v>
      </c>
      <c r="AF102">
        <f t="shared" si="26"/>
        <v>2732.375</v>
      </c>
      <c r="AG102">
        <f t="shared" si="27"/>
        <v>2.732375</v>
      </c>
      <c r="AH102" s="8">
        <v>26.601</v>
      </c>
      <c r="AI102">
        <v>230837933</v>
      </c>
      <c r="AJ102">
        <v>5343832</v>
      </c>
      <c r="AK102" s="7"/>
    </row>
    <row r="103" spans="1:40">
      <c r="A103">
        <v>262144</v>
      </c>
      <c r="B103">
        <v>16384</v>
      </c>
      <c r="C103">
        <v>3254.476</v>
      </c>
      <c r="D103">
        <f t="shared" si="28"/>
        <v>3.254476</v>
      </c>
      <c r="E103">
        <v>2.033</v>
      </c>
      <c r="F103">
        <v>616</v>
      </c>
      <c r="G103">
        <f t="shared" si="33"/>
        <v>899461.835</v>
      </c>
      <c r="H103">
        <f t="shared" si="34"/>
        <v>899.461835</v>
      </c>
      <c r="I103" s="9"/>
      <c r="J103" s="13">
        <v>8</v>
      </c>
      <c r="K103" s="9">
        <v>262144</v>
      </c>
      <c r="L103" s="9">
        <v>16384</v>
      </c>
      <c r="M103" s="9">
        <v>4</v>
      </c>
      <c r="N103" s="8">
        <v>1015.288</v>
      </c>
      <c r="O103" s="9">
        <f t="shared" si="29"/>
        <v>1.015288</v>
      </c>
      <c r="P103" s="8">
        <v>4028.046</v>
      </c>
      <c r="Q103" s="9">
        <f t="shared" si="30"/>
        <v>4.028046</v>
      </c>
      <c r="R103" s="9">
        <f t="shared" si="31"/>
        <v>5043.334</v>
      </c>
      <c r="S103" s="9">
        <f t="shared" si="32"/>
        <v>5.043334</v>
      </c>
      <c r="T103" s="8">
        <v>38.361</v>
      </c>
      <c r="U103" s="9">
        <v>230837933</v>
      </c>
      <c r="V103" s="14">
        <v>5343832</v>
      </c>
      <c r="X103" s="6">
        <v>9</v>
      </c>
      <c r="Y103">
        <v>262144</v>
      </c>
      <c r="Z103">
        <v>32768</v>
      </c>
      <c r="AA103">
        <v>4</v>
      </c>
      <c r="AB103" s="8">
        <v>695.771</v>
      </c>
      <c r="AC103">
        <f t="shared" si="24"/>
        <v>0.695771</v>
      </c>
      <c r="AD103" s="8">
        <v>2128.284</v>
      </c>
      <c r="AE103">
        <f t="shared" si="25"/>
        <v>2.128284</v>
      </c>
      <c r="AF103">
        <f t="shared" si="26"/>
        <v>2824.055</v>
      </c>
      <c r="AG103">
        <f t="shared" si="27"/>
        <v>2.824055</v>
      </c>
      <c r="AH103" s="8">
        <v>27.453</v>
      </c>
      <c r="AI103">
        <v>242634485</v>
      </c>
      <c r="AJ103">
        <v>5583032</v>
      </c>
      <c r="AK103" s="7"/>
      <c r="AN103" s="6"/>
    </row>
    <row r="104" spans="1:40">
      <c r="A104">
        <v>262144</v>
      </c>
      <c r="B104">
        <v>32768</v>
      </c>
      <c r="C104">
        <v>6292.383</v>
      </c>
      <c r="D104">
        <f t="shared" si="28"/>
        <v>6.292383</v>
      </c>
      <c r="E104">
        <v>1.986</v>
      </c>
      <c r="F104">
        <v>616</v>
      </c>
      <c r="G104">
        <f t="shared" si="33"/>
        <v>902499.742</v>
      </c>
      <c r="H104">
        <f t="shared" si="34"/>
        <v>902.499742</v>
      </c>
      <c r="I104" s="9"/>
      <c r="J104" s="13">
        <v>9</v>
      </c>
      <c r="K104" s="9">
        <v>262144</v>
      </c>
      <c r="L104" s="9">
        <v>32768</v>
      </c>
      <c r="M104" s="9">
        <v>4</v>
      </c>
      <c r="N104" s="8">
        <v>1015.288</v>
      </c>
      <c r="O104" s="9">
        <f t="shared" si="29"/>
        <v>1.015288</v>
      </c>
      <c r="P104" s="8">
        <v>3894.645</v>
      </c>
      <c r="Q104" s="9">
        <f t="shared" si="30"/>
        <v>3.894645</v>
      </c>
      <c r="R104" s="9">
        <f t="shared" si="31"/>
        <v>4909.933</v>
      </c>
      <c r="S104" s="9">
        <f t="shared" si="32"/>
        <v>4.909933</v>
      </c>
      <c r="T104" s="8">
        <v>37.493</v>
      </c>
      <c r="U104" s="9">
        <v>242634485</v>
      </c>
      <c r="V104" s="14">
        <v>5583032</v>
      </c>
      <c r="X104" s="6">
        <v>10</v>
      </c>
      <c r="Y104">
        <v>262144</v>
      </c>
      <c r="Z104">
        <v>65536</v>
      </c>
      <c r="AA104">
        <v>4</v>
      </c>
      <c r="AB104" s="8">
        <v>695.771</v>
      </c>
      <c r="AC104">
        <f t="shared" si="24"/>
        <v>0.695771</v>
      </c>
      <c r="AD104" s="8">
        <v>2303.088</v>
      </c>
      <c r="AE104">
        <f t="shared" si="25"/>
        <v>2.303088</v>
      </c>
      <c r="AF104">
        <f t="shared" si="26"/>
        <v>2998.859</v>
      </c>
      <c r="AG104">
        <f t="shared" si="27"/>
        <v>2.998859</v>
      </c>
      <c r="AH104" s="8">
        <v>30.24</v>
      </c>
      <c r="AI104">
        <v>266227517</v>
      </c>
      <c r="AJ104">
        <v>5834520</v>
      </c>
      <c r="AK104" s="7"/>
    </row>
    <row r="105" spans="1:40">
      <c r="A105">
        <v>262144</v>
      </c>
      <c r="B105">
        <v>65536</v>
      </c>
      <c r="C105">
        <v>11815.212</v>
      </c>
      <c r="D105">
        <f t="shared" si="28"/>
        <v>11.815212</v>
      </c>
      <c r="E105">
        <v>1.979</v>
      </c>
      <c r="F105">
        <v>616</v>
      </c>
      <c r="G105">
        <f t="shared" si="33"/>
        <v>908022.571</v>
      </c>
      <c r="H105">
        <f t="shared" si="34"/>
        <v>908.022571</v>
      </c>
      <c r="I105" s="9"/>
      <c r="J105" s="13">
        <v>10</v>
      </c>
      <c r="K105" s="9">
        <v>262144</v>
      </c>
      <c r="L105" s="9">
        <v>65536</v>
      </c>
      <c r="M105" s="9">
        <v>4</v>
      </c>
      <c r="N105" s="8">
        <v>1015.288</v>
      </c>
      <c r="O105" s="9">
        <f t="shared" si="29"/>
        <v>1.015288</v>
      </c>
      <c r="P105" s="8">
        <v>3883.452</v>
      </c>
      <c r="Q105" s="9">
        <f t="shared" si="30"/>
        <v>3.883452</v>
      </c>
      <c r="R105" s="9">
        <f t="shared" si="31"/>
        <v>4898.74</v>
      </c>
      <c r="S105" s="9">
        <f t="shared" si="32"/>
        <v>4.89874</v>
      </c>
      <c r="T105" s="8">
        <v>28.605</v>
      </c>
      <c r="U105" s="9">
        <v>266227517</v>
      </c>
      <c r="V105" s="14">
        <v>5834520</v>
      </c>
      <c r="X105" s="6">
        <v>11</v>
      </c>
      <c r="Y105">
        <v>262144</v>
      </c>
      <c r="Z105">
        <v>131072</v>
      </c>
      <c r="AA105">
        <v>4</v>
      </c>
      <c r="AB105" s="8">
        <v>695.771</v>
      </c>
      <c r="AC105">
        <f t="shared" si="24"/>
        <v>0.695771</v>
      </c>
      <c r="AD105" s="8">
        <v>2671.84</v>
      </c>
      <c r="AE105">
        <f t="shared" si="25"/>
        <v>2.67184</v>
      </c>
      <c r="AF105">
        <f t="shared" si="26"/>
        <v>3367.611</v>
      </c>
      <c r="AG105">
        <f t="shared" si="27"/>
        <v>3.367611</v>
      </c>
      <c r="AH105" s="8">
        <v>29.653</v>
      </c>
      <c r="AI105">
        <v>313413509</v>
      </c>
      <c r="AJ105">
        <v>6098296</v>
      </c>
      <c r="AK105" s="7"/>
    </row>
    <row r="106" spans="1:40">
      <c r="A106">
        <v>262144</v>
      </c>
      <c r="B106">
        <v>131072</v>
      </c>
      <c r="C106">
        <v>21220.083</v>
      </c>
      <c r="D106">
        <f t="shared" si="28"/>
        <v>21.220083</v>
      </c>
      <c r="E106">
        <v>2.045</v>
      </c>
      <c r="F106">
        <v>616</v>
      </c>
      <c r="G106">
        <f t="shared" si="33"/>
        <v>917427.442</v>
      </c>
      <c r="H106">
        <f t="shared" si="34"/>
        <v>917.427442</v>
      </c>
      <c r="I106" s="9"/>
      <c r="J106" s="13">
        <v>11</v>
      </c>
      <c r="K106" s="9">
        <v>262144</v>
      </c>
      <c r="L106" s="9">
        <v>131072</v>
      </c>
      <c r="M106" s="9">
        <v>4</v>
      </c>
      <c r="N106" s="8">
        <v>1015.288</v>
      </c>
      <c r="O106" s="9">
        <f t="shared" si="29"/>
        <v>1.015288</v>
      </c>
      <c r="P106" s="8">
        <v>4100.428</v>
      </c>
      <c r="Q106" s="9">
        <f t="shared" si="30"/>
        <v>4.100428</v>
      </c>
      <c r="R106" s="9">
        <f t="shared" si="31"/>
        <v>5115.716</v>
      </c>
      <c r="S106" s="9">
        <f t="shared" si="32"/>
        <v>5.115716</v>
      </c>
      <c r="T106" s="8">
        <v>27.592</v>
      </c>
      <c r="U106" s="9">
        <v>313413509</v>
      </c>
      <c r="V106" s="14">
        <v>6098296</v>
      </c>
      <c r="X106" s="6">
        <v>12</v>
      </c>
      <c r="Y106">
        <v>262144</v>
      </c>
      <c r="Z106">
        <v>262144</v>
      </c>
      <c r="AA106">
        <v>4</v>
      </c>
      <c r="AB106" s="8">
        <v>695.771</v>
      </c>
      <c r="AC106">
        <f t="shared" si="24"/>
        <v>0.695771</v>
      </c>
      <c r="AD106" s="8">
        <v>3890.12</v>
      </c>
      <c r="AE106">
        <f t="shared" si="25"/>
        <v>3.89012</v>
      </c>
      <c r="AF106">
        <f t="shared" si="26"/>
        <v>4585.891</v>
      </c>
      <c r="AG106">
        <f t="shared" si="27"/>
        <v>4.585891</v>
      </c>
      <c r="AH106" s="8">
        <v>28.697</v>
      </c>
      <c r="AI106">
        <v>407785421</v>
      </c>
      <c r="AJ106">
        <v>6374360</v>
      </c>
      <c r="AK106" s="7"/>
    </row>
    <row r="107" spans="1:40">
      <c r="A107">
        <v>262144</v>
      </c>
      <c r="B107">
        <v>262144</v>
      </c>
      <c r="C107">
        <v>34896.634</v>
      </c>
      <c r="D107">
        <f t="shared" si="28"/>
        <v>34.896634</v>
      </c>
      <c r="E107">
        <v>1.965</v>
      </c>
      <c r="F107">
        <v>616</v>
      </c>
      <c r="G107">
        <f t="shared" si="33"/>
        <v>931103.993</v>
      </c>
      <c r="H107">
        <f t="shared" si="34"/>
        <v>931.103993</v>
      </c>
      <c r="I107" s="9"/>
      <c r="J107" s="13">
        <v>12</v>
      </c>
      <c r="K107" s="9">
        <v>262144</v>
      </c>
      <c r="L107" s="9">
        <v>262144</v>
      </c>
      <c r="M107" s="9">
        <v>4</v>
      </c>
      <c r="N107" s="8">
        <v>1015.288</v>
      </c>
      <c r="O107" s="9">
        <f t="shared" si="29"/>
        <v>1.015288</v>
      </c>
      <c r="P107" s="8">
        <v>4551.822</v>
      </c>
      <c r="Q107" s="9">
        <f t="shared" si="30"/>
        <v>4.551822</v>
      </c>
      <c r="R107" s="9">
        <f t="shared" si="31"/>
        <v>5567.11</v>
      </c>
      <c r="S107" s="9">
        <f t="shared" si="32"/>
        <v>5.56711</v>
      </c>
      <c r="T107" s="8">
        <v>29.006</v>
      </c>
      <c r="U107" s="9">
        <v>407785421</v>
      </c>
      <c r="V107" s="14">
        <v>6374360</v>
      </c>
      <c r="X107" s="6"/>
      <c r="AK107" s="7"/>
    </row>
    <row r="108" spans="1:40">
      <c r="I108" s="9"/>
      <c r="J108" s="15"/>
      <c r="K108" s="16"/>
      <c r="L108" s="16"/>
      <c r="M108" s="16"/>
      <c r="N108" s="16"/>
      <c r="O108" s="9"/>
      <c r="P108" s="16"/>
      <c r="Q108" s="9"/>
      <c r="R108" s="9"/>
      <c r="S108" s="9"/>
      <c r="T108" s="16"/>
      <c r="U108" s="16"/>
      <c r="V108" s="17"/>
      <c r="X108" s="18"/>
      <c r="Y108" s="19"/>
      <c r="Z108" s="19"/>
      <c r="AA108" s="19"/>
      <c r="AB108" s="19"/>
      <c r="AD108" s="19"/>
      <c r="AH108" s="19"/>
      <c r="AI108" s="19"/>
      <c r="AJ108" s="19"/>
      <c r="AK108" s="20"/>
    </row>
    <row r="109" spans="1:40">
      <c r="K109" s="8"/>
      <c r="L109" s="8"/>
      <c r="O109" s="9"/>
      <c r="Q109" s="9"/>
      <c r="R109" s="9"/>
      <c r="S109" s="9"/>
    </row>
    <row r="110" spans="1:40">
      <c r="K110">
        <v>524288</v>
      </c>
      <c r="L110">
        <v>64</v>
      </c>
      <c r="M110">
        <v>4</v>
      </c>
      <c r="N110" s="8">
        <v>2147.085</v>
      </c>
      <c r="O110" s="9">
        <f t="shared" si="29"/>
        <v>2.147085</v>
      </c>
      <c r="P110" s="8">
        <v>7581.005</v>
      </c>
      <c r="Q110" s="9">
        <f t="shared" si="30"/>
        <v>7.581005</v>
      </c>
      <c r="R110" s="9">
        <f t="shared" si="31"/>
        <v>9728.09</v>
      </c>
      <c r="S110" s="9">
        <f t="shared" si="32"/>
        <v>9.72809</v>
      </c>
      <c r="T110" s="8">
        <v>30.087</v>
      </c>
      <c r="U110">
        <v>437281493</v>
      </c>
      <c r="V110">
        <v>4163000</v>
      </c>
    </row>
    <row r="111" spans="1:40">
      <c r="K111">
        <v>524288</v>
      </c>
      <c r="L111">
        <v>128</v>
      </c>
      <c r="M111">
        <v>4</v>
      </c>
      <c r="N111" s="8">
        <v>2147.085</v>
      </c>
      <c r="O111" s="9">
        <f t="shared" si="29"/>
        <v>2.147085</v>
      </c>
      <c r="P111" s="8">
        <v>7584.415</v>
      </c>
      <c r="Q111" s="9">
        <f t="shared" si="30"/>
        <v>7.584415</v>
      </c>
      <c r="R111" s="9">
        <f t="shared" si="31"/>
        <v>9731.5</v>
      </c>
      <c r="S111" s="9">
        <f t="shared" si="32"/>
        <v>9.7315</v>
      </c>
      <c r="T111" s="8">
        <v>24.824</v>
      </c>
      <c r="U111">
        <v>437327645</v>
      </c>
      <c r="V111">
        <v>4303896</v>
      </c>
      <c r="X111" t="s">
        <v>4</v>
      </c>
      <c r="Y111" t="s">
        <v>5</v>
      </c>
      <c r="Z111" t="s">
        <v>6</v>
      </c>
      <c r="AA111" t="s">
        <v>7</v>
      </c>
      <c r="AB111" t="s">
        <v>8</v>
      </c>
      <c r="AC111" t="s">
        <v>9</v>
      </c>
      <c r="AD111" t="s">
        <v>10</v>
      </c>
      <c r="AE111" t="s">
        <v>11</v>
      </c>
      <c r="AF111" t="s">
        <v>12</v>
      </c>
      <c r="AG111" t="s">
        <v>13</v>
      </c>
      <c r="AH111" t="s">
        <v>14</v>
      </c>
      <c r="AI111" t="s">
        <v>15</v>
      </c>
      <c r="AJ111" t="s">
        <v>16</v>
      </c>
    </row>
    <row r="112" spans="1:40">
      <c r="K112">
        <v>524288</v>
      </c>
      <c r="L112">
        <v>256</v>
      </c>
      <c r="M112">
        <v>4</v>
      </c>
      <c r="N112" s="8">
        <v>2147.085</v>
      </c>
      <c r="O112" s="9">
        <f t="shared" si="29"/>
        <v>2.147085</v>
      </c>
      <c r="P112" s="8">
        <v>7507.06</v>
      </c>
      <c r="Q112" s="9">
        <f t="shared" si="30"/>
        <v>7.50706</v>
      </c>
      <c r="R112" s="9">
        <f t="shared" si="31"/>
        <v>9654.145</v>
      </c>
      <c r="S112" s="9">
        <f t="shared" si="32"/>
        <v>9.654145</v>
      </c>
      <c r="T112" s="8">
        <v>25.655</v>
      </c>
      <c r="U112">
        <v>437419877</v>
      </c>
      <c r="V112">
        <v>4457080</v>
      </c>
      <c r="X112">
        <v>0</v>
      </c>
      <c r="Y112">
        <v>524288</v>
      </c>
      <c r="Z112">
        <v>64</v>
      </c>
      <c r="AA112">
        <v>4</v>
      </c>
      <c r="AB112" s="8">
        <v>1424.691</v>
      </c>
      <c r="AC112">
        <f t="shared" si="24"/>
        <v>1.424691</v>
      </c>
      <c r="AD112" s="8">
        <v>3578.554</v>
      </c>
      <c r="AE112">
        <f t="shared" si="25"/>
        <v>3.578554</v>
      </c>
      <c r="AF112">
        <f t="shared" si="26"/>
        <v>5003.245</v>
      </c>
      <c r="AG112">
        <f t="shared" si="27"/>
        <v>5.003245</v>
      </c>
      <c r="AH112" s="8">
        <v>27.67</v>
      </c>
      <c r="AI112">
        <v>437281493</v>
      </c>
      <c r="AJ112">
        <v>4163000</v>
      </c>
    </row>
    <row r="113" spans="11:36">
      <c r="K113">
        <v>524288</v>
      </c>
      <c r="L113">
        <v>512</v>
      </c>
      <c r="M113">
        <v>4</v>
      </c>
      <c r="N113" s="8">
        <v>2147.085</v>
      </c>
      <c r="O113" s="9">
        <f t="shared" si="29"/>
        <v>2.147085</v>
      </c>
      <c r="P113" s="8">
        <v>7537.601</v>
      </c>
      <c r="Q113" s="9">
        <f t="shared" si="30"/>
        <v>7.537601</v>
      </c>
      <c r="R113" s="9">
        <f t="shared" si="31"/>
        <v>9684.686</v>
      </c>
      <c r="S113" s="9">
        <f t="shared" si="32"/>
        <v>9.684686</v>
      </c>
      <c r="T113" s="8">
        <v>24.956</v>
      </c>
      <c r="U113">
        <v>437604269</v>
      </c>
      <c r="V113">
        <v>4622552</v>
      </c>
      <c r="X113">
        <v>1</v>
      </c>
      <c r="Y113">
        <v>524288</v>
      </c>
      <c r="Z113">
        <v>128</v>
      </c>
      <c r="AA113">
        <v>4</v>
      </c>
      <c r="AB113" s="8">
        <v>1424.691</v>
      </c>
      <c r="AC113">
        <f t="shared" si="24"/>
        <v>1.424691</v>
      </c>
      <c r="AD113" s="8">
        <v>3663.407</v>
      </c>
      <c r="AE113">
        <f t="shared" si="25"/>
        <v>3.663407</v>
      </c>
      <c r="AF113">
        <f t="shared" si="26"/>
        <v>5088.098</v>
      </c>
      <c r="AG113">
        <f t="shared" si="27"/>
        <v>5.088098</v>
      </c>
      <c r="AH113" s="8">
        <v>26.492</v>
      </c>
      <c r="AI113">
        <v>437327645</v>
      </c>
      <c r="AJ113">
        <v>4303896</v>
      </c>
    </row>
    <row r="114" spans="11:36">
      <c r="K114">
        <v>524288</v>
      </c>
      <c r="L114">
        <v>1024</v>
      </c>
      <c r="M114">
        <v>4</v>
      </c>
      <c r="N114" s="8">
        <v>2147.085</v>
      </c>
      <c r="O114" s="9">
        <f t="shared" si="29"/>
        <v>2.147085</v>
      </c>
      <c r="P114" s="8">
        <v>7464.139</v>
      </c>
      <c r="Q114" s="9">
        <f t="shared" si="30"/>
        <v>7.464139</v>
      </c>
      <c r="R114" s="9">
        <f t="shared" si="31"/>
        <v>9611.224</v>
      </c>
      <c r="S114" s="9">
        <f t="shared" si="32"/>
        <v>9.611224</v>
      </c>
      <c r="T114" s="8">
        <v>25.444</v>
      </c>
      <c r="U114">
        <v>437972981</v>
      </c>
      <c r="V114">
        <v>4800312</v>
      </c>
      <c r="X114">
        <v>2</v>
      </c>
      <c r="Y114">
        <v>524288</v>
      </c>
      <c r="Z114">
        <v>256</v>
      </c>
      <c r="AA114">
        <v>4</v>
      </c>
      <c r="AB114" s="8">
        <v>1424.691</v>
      </c>
      <c r="AC114">
        <f t="shared" si="24"/>
        <v>1.424691</v>
      </c>
      <c r="AD114" s="8">
        <v>3660.56</v>
      </c>
      <c r="AE114">
        <f t="shared" si="25"/>
        <v>3.66056</v>
      </c>
      <c r="AF114">
        <f t="shared" si="26"/>
        <v>5085.251</v>
      </c>
      <c r="AG114">
        <f t="shared" si="27"/>
        <v>5.085251</v>
      </c>
      <c r="AH114" s="8">
        <v>28.665</v>
      </c>
      <c r="AI114">
        <v>437419877</v>
      </c>
      <c r="AJ114">
        <v>4457080</v>
      </c>
    </row>
    <row r="115" spans="11:36">
      <c r="K115">
        <v>524288</v>
      </c>
      <c r="L115">
        <v>2048</v>
      </c>
      <c r="M115">
        <v>4</v>
      </c>
      <c r="N115" s="8">
        <v>2147.085</v>
      </c>
      <c r="O115" s="9">
        <f t="shared" si="29"/>
        <v>2.147085</v>
      </c>
      <c r="P115" s="8">
        <v>7531.205</v>
      </c>
      <c r="Q115" s="9">
        <f t="shared" si="30"/>
        <v>7.531205</v>
      </c>
      <c r="R115" s="9">
        <f t="shared" si="31"/>
        <v>9678.29</v>
      </c>
      <c r="S115" s="9">
        <f t="shared" si="32"/>
        <v>9.67829</v>
      </c>
      <c r="T115" s="8">
        <v>24.351</v>
      </c>
      <c r="U115">
        <v>438710333</v>
      </c>
      <c r="V115">
        <v>4990360</v>
      </c>
      <c r="X115">
        <v>3</v>
      </c>
      <c r="Y115">
        <v>524288</v>
      </c>
      <c r="Z115">
        <v>512</v>
      </c>
      <c r="AA115">
        <v>4</v>
      </c>
      <c r="AB115" s="8">
        <v>1424.691</v>
      </c>
      <c r="AC115">
        <f t="shared" si="24"/>
        <v>1.424691</v>
      </c>
      <c r="AD115" s="8">
        <v>3668.377</v>
      </c>
      <c r="AE115">
        <f t="shared" si="25"/>
        <v>3.668377</v>
      </c>
      <c r="AF115">
        <f t="shared" si="26"/>
        <v>5093.068</v>
      </c>
      <c r="AG115">
        <f t="shared" si="27"/>
        <v>5.093068</v>
      </c>
      <c r="AH115" s="8">
        <v>39.121</v>
      </c>
      <c r="AI115">
        <v>437604269</v>
      </c>
      <c r="AJ115">
        <v>4622552</v>
      </c>
    </row>
    <row r="116" spans="11:36">
      <c r="K116">
        <v>524288</v>
      </c>
      <c r="L116">
        <v>4096</v>
      </c>
      <c r="M116">
        <v>4</v>
      </c>
      <c r="N116" s="8">
        <v>2147.085</v>
      </c>
      <c r="O116" s="9">
        <f t="shared" si="29"/>
        <v>2.147085</v>
      </c>
      <c r="P116" s="8">
        <v>7495.708</v>
      </c>
      <c r="Q116" s="9">
        <f t="shared" si="30"/>
        <v>7.495708</v>
      </c>
      <c r="R116" s="9">
        <f t="shared" si="31"/>
        <v>9642.793</v>
      </c>
      <c r="S116" s="9">
        <f t="shared" si="32"/>
        <v>9.642793</v>
      </c>
      <c r="T116" s="8">
        <v>26.505</v>
      </c>
      <c r="U116">
        <v>440184965</v>
      </c>
      <c r="V116">
        <v>5192696</v>
      </c>
      <c r="X116">
        <v>4</v>
      </c>
      <c r="Y116">
        <v>524288</v>
      </c>
      <c r="Z116">
        <v>1024</v>
      </c>
      <c r="AA116">
        <v>4</v>
      </c>
      <c r="AB116" s="8">
        <v>1424.691</v>
      </c>
      <c r="AC116">
        <f t="shared" si="24"/>
        <v>1.424691</v>
      </c>
      <c r="AD116" s="8">
        <v>3615.931</v>
      </c>
      <c r="AE116">
        <f t="shared" si="25"/>
        <v>3.615931</v>
      </c>
      <c r="AF116">
        <f t="shared" si="26"/>
        <v>5040.622</v>
      </c>
      <c r="AG116">
        <f t="shared" si="27"/>
        <v>5.040622</v>
      </c>
      <c r="AH116" s="8">
        <v>26.086</v>
      </c>
      <c r="AI116">
        <v>437972981</v>
      </c>
      <c r="AJ116">
        <v>4800312</v>
      </c>
    </row>
    <row r="117" spans="11:36">
      <c r="K117">
        <v>524288</v>
      </c>
      <c r="L117">
        <v>8192</v>
      </c>
      <c r="M117">
        <v>4</v>
      </c>
      <c r="N117" s="8">
        <v>2147.085</v>
      </c>
      <c r="O117" s="9">
        <f t="shared" si="29"/>
        <v>2.147085</v>
      </c>
      <c r="P117" s="8">
        <v>7510.787</v>
      </c>
      <c r="Q117" s="9">
        <f t="shared" si="30"/>
        <v>7.510787</v>
      </c>
      <c r="R117" s="9">
        <f t="shared" si="31"/>
        <v>9657.872</v>
      </c>
      <c r="S117" s="9">
        <f t="shared" si="32"/>
        <v>9.657872</v>
      </c>
      <c r="T117" s="8">
        <v>25.212</v>
      </c>
      <c r="U117">
        <v>443134157</v>
      </c>
      <c r="V117">
        <v>5407320</v>
      </c>
      <c r="X117">
        <v>5</v>
      </c>
      <c r="Y117">
        <v>524288</v>
      </c>
      <c r="Z117">
        <v>2048</v>
      </c>
      <c r="AA117" s="21">
        <v>4</v>
      </c>
      <c r="AB117" s="8">
        <v>1424.691</v>
      </c>
      <c r="AC117">
        <f t="shared" ref="AC117:AC161" si="35">AB117/1000</f>
        <v>1.424691</v>
      </c>
      <c r="AD117" s="8">
        <v>3682.089</v>
      </c>
      <c r="AE117">
        <f t="shared" ref="AE117:AE161" si="36">AD117/1000</f>
        <v>3.682089</v>
      </c>
      <c r="AF117">
        <f t="shared" ref="AF117:AF161" si="37">AB117+AD117</f>
        <v>5106.78</v>
      </c>
      <c r="AG117">
        <f t="shared" ref="AG117:AG161" si="38">AC117+AE117</f>
        <v>5.10678</v>
      </c>
      <c r="AH117" s="8">
        <v>28.631</v>
      </c>
      <c r="AI117">
        <v>438710333</v>
      </c>
      <c r="AJ117">
        <v>4990360</v>
      </c>
    </row>
    <row r="118" spans="11:36">
      <c r="K118">
        <v>524288</v>
      </c>
      <c r="L118">
        <v>16384</v>
      </c>
      <c r="M118">
        <v>4</v>
      </c>
      <c r="N118" s="8">
        <v>2147.085</v>
      </c>
      <c r="O118" s="9">
        <f t="shared" si="29"/>
        <v>2.147085</v>
      </c>
      <c r="P118" s="8">
        <v>7432.888</v>
      </c>
      <c r="Q118" s="9">
        <f t="shared" si="30"/>
        <v>7.432888</v>
      </c>
      <c r="R118" s="9">
        <f t="shared" si="31"/>
        <v>9579.973</v>
      </c>
      <c r="S118" s="9">
        <f t="shared" si="32"/>
        <v>9.579973</v>
      </c>
      <c r="T118" s="8">
        <v>24.307</v>
      </c>
      <c r="U118">
        <v>449032469</v>
      </c>
      <c r="V118">
        <v>5634232</v>
      </c>
      <c r="X118">
        <v>6</v>
      </c>
      <c r="Y118">
        <v>524288</v>
      </c>
      <c r="Z118">
        <v>4096</v>
      </c>
      <c r="AA118">
        <v>4</v>
      </c>
      <c r="AB118" s="8">
        <v>1424.691</v>
      </c>
      <c r="AC118">
        <f t="shared" si="35"/>
        <v>1.424691</v>
      </c>
      <c r="AD118" s="8">
        <v>3649.481</v>
      </c>
      <c r="AE118">
        <f t="shared" si="36"/>
        <v>3.649481</v>
      </c>
      <c r="AF118">
        <f t="shared" si="37"/>
        <v>5074.172</v>
      </c>
      <c r="AG118">
        <f t="shared" si="38"/>
        <v>5.074172</v>
      </c>
      <c r="AH118" s="8">
        <v>30.6</v>
      </c>
      <c r="AI118">
        <v>440184965</v>
      </c>
      <c r="AJ118">
        <v>5192696</v>
      </c>
    </row>
    <row r="119" spans="11:36">
      <c r="K119">
        <v>524288</v>
      </c>
      <c r="L119">
        <v>32768</v>
      </c>
      <c r="M119">
        <v>4</v>
      </c>
      <c r="N119" s="8">
        <v>2147.085</v>
      </c>
      <c r="O119" s="9">
        <f t="shared" si="29"/>
        <v>2.147085</v>
      </c>
      <c r="P119" s="8">
        <v>7427.171</v>
      </c>
      <c r="Q119" s="9">
        <f t="shared" si="30"/>
        <v>7.427171</v>
      </c>
      <c r="R119" s="9">
        <f t="shared" si="31"/>
        <v>9574.256</v>
      </c>
      <c r="S119" s="9">
        <f t="shared" si="32"/>
        <v>9.574256</v>
      </c>
      <c r="T119" s="8">
        <v>29.623</v>
      </c>
      <c r="U119">
        <v>460829021</v>
      </c>
      <c r="V119">
        <v>5873432</v>
      </c>
      <c r="X119">
        <v>7</v>
      </c>
      <c r="Y119">
        <v>524288</v>
      </c>
      <c r="Z119">
        <v>8192</v>
      </c>
      <c r="AA119">
        <v>4</v>
      </c>
      <c r="AB119" s="8">
        <v>1424.691</v>
      </c>
      <c r="AC119">
        <f t="shared" si="35"/>
        <v>1.424691</v>
      </c>
      <c r="AD119" s="8">
        <v>3683.497</v>
      </c>
      <c r="AE119">
        <f t="shared" si="36"/>
        <v>3.683497</v>
      </c>
      <c r="AF119">
        <f t="shared" si="37"/>
        <v>5108.188</v>
      </c>
      <c r="AG119">
        <f t="shared" si="38"/>
        <v>5.108188</v>
      </c>
      <c r="AH119" s="8">
        <v>29.915</v>
      </c>
      <c r="AI119">
        <v>443134157</v>
      </c>
      <c r="AJ119">
        <v>5407320</v>
      </c>
    </row>
    <row r="120" spans="11:36">
      <c r="K120">
        <v>524288</v>
      </c>
      <c r="L120">
        <v>65536</v>
      </c>
      <c r="M120">
        <v>4</v>
      </c>
      <c r="N120" s="8">
        <v>2147.085</v>
      </c>
      <c r="O120" s="9">
        <f t="shared" ref="O120:O158" si="39">N120/1000</f>
        <v>2.147085</v>
      </c>
      <c r="P120" s="8">
        <v>7549.235</v>
      </c>
      <c r="Q120" s="9">
        <f t="shared" ref="Q120:Q158" si="40">P120/1000</f>
        <v>7.549235</v>
      </c>
      <c r="R120" s="9">
        <f t="shared" ref="R120:R158" si="41">N120+P120</f>
        <v>9696.32</v>
      </c>
      <c r="S120" s="9">
        <f t="shared" ref="S120:S158" si="42">R120/1000</f>
        <v>9.69632</v>
      </c>
      <c r="T120" s="8">
        <v>33.142</v>
      </c>
      <c r="U120">
        <v>484422053</v>
      </c>
      <c r="V120">
        <v>6124920</v>
      </c>
      <c r="X120">
        <v>8</v>
      </c>
      <c r="Y120">
        <v>524288</v>
      </c>
      <c r="Z120">
        <v>16384</v>
      </c>
      <c r="AA120">
        <v>4</v>
      </c>
      <c r="AB120" s="8">
        <v>1424.691</v>
      </c>
      <c r="AC120">
        <f t="shared" si="35"/>
        <v>1.424691</v>
      </c>
      <c r="AD120" s="8">
        <v>3610.729</v>
      </c>
      <c r="AE120">
        <f t="shared" si="36"/>
        <v>3.610729</v>
      </c>
      <c r="AF120">
        <f t="shared" si="37"/>
        <v>5035.42</v>
      </c>
      <c r="AG120">
        <f t="shared" si="38"/>
        <v>5.03542</v>
      </c>
      <c r="AH120" s="8">
        <v>27.383</v>
      </c>
      <c r="AI120">
        <v>449032469</v>
      </c>
      <c r="AJ120">
        <v>5634232</v>
      </c>
    </row>
    <row r="121" spans="11:36">
      <c r="K121">
        <v>524288</v>
      </c>
      <c r="L121">
        <v>131072</v>
      </c>
      <c r="M121">
        <v>4</v>
      </c>
      <c r="N121" s="8">
        <v>2147.085</v>
      </c>
      <c r="O121" s="9">
        <f t="shared" si="39"/>
        <v>2.147085</v>
      </c>
      <c r="P121" s="8">
        <v>7800.205</v>
      </c>
      <c r="Q121" s="9">
        <f t="shared" si="40"/>
        <v>7.800205</v>
      </c>
      <c r="R121" s="9">
        <f t="shared" si="41"/>
        <v>9947.29</v>
      </c>
      <c r="S121" s="9">
        <f t="shared" si="42"/>
        <v>9.94729</v>
      </c>
      <c r="T121" s="8">
        <v>28.048</v>
      </c>
      <c r="U121">
        <v>531608045</v>
      </c>
      <c r="V121">
        <v>6388696</v>
      </c>
      <c r="X121">
        <v>9</v>
      </c>
      <c r="Y121">
        <v>524288</v>
      </c>
      <c r="Z121">
        <v>32768</v>
      </c>
      <c r="AA121">
        <v>4</v>
      </c>
      <c r="AB121" s="8">
        <v>1424.691</v>
      </c>
      <c r="AC121">
        <f t="shared" si="35"/>
        <v>1.424691</v>
      </c>
      <c r="AD121" s="8">
        <v>3845.847</v>
      </c>
      <c r="AE121">
        <f t="shared" si="36"/>
        <v>3.845847</v>
      </c>
      <c r="AF121">
        <f t="shared" si="37"/>
        <v>5270.538</v>
      </c>
      <c r="AG121">
        <f t="shared" si="38"/>
        <v>5.270538</v>
      </c>
      <c r="AH121" s="8">
        <v>32.685</v>
      </c>
      <c r="AI121">
        <v>460829021</v>
      </c>
      <c r="AJ121">
        <v>5873432</v>
      </c>
    </row>
    <row r="122" spans="11:36">
      <c r="K122">
        <v>524288</v>
      </c>
      <c r="L122">
        <v>262144</v>
      </c>
      <c r="M122">
        <v>4</v>
      </c>
      <c r="N122" s="8">
        <v>2147.085</v>
      </c>
      <c r="O122" s="9">
        <f t="shared" si="39"/>
        <v>2.147085</v>
      </c>
      <c r="P122" s="8">
        <v>8069.766</v>
      </c>
      <c r="Q122" s="9">
        <f t="shared" si="40"/>
        <v>8.069766</v>
      </c>
      <c r="R122" s="9">
        <f t="shared" si="41"/>
        <v>10216.851</v>
      </c>
      <c r="S122" s="9">
        <f t="shared" si="42"/>
        <v>10.216851</v>
      </c>
      <c r="T122" s="8">
        <v>32.658</v>
      </c>
      <c r="U122">
        <v>625979957</v>
      </c>
      <c r="V122">
        <v>6664760</v>
      </c>
      <c r="X122">
        <v>10</v>
      </c>
      <c r="Y122">
        <v>524288</v>
      </c>
      <c r="Z122">
        <v>65536</v>
      </c>
      <c r="AA122">
        <v>4</v>
      </c>
      <c r="AB122" s="8">
        <v>1424.691</v>
      </c>
      <c r="AC122">
        <f t="shared" si="35"/>
        <v>1.424691</v>
      </c>
      <c r="AD122" s="8">
        <v>4184.921</v>
      </c>
      <c r="AE122">
        <f t="shared" si="36"/>
        <v>4.184921</v>
      </c>
      <c r="AF122">
        <f t="shared" si="37"/>
        <v>5609.612</v>
      </c>
      <c r="AG122">
        <f t="shared" si="38"/>
        <v>5.609612</v>
      </c>
      <c r="AH122" s="8">
        <v>36.243</v>
      </c>
      <c r="AI122">
        <v>484422053</v>
      </c>
      <c r="AJ122">
        <v>6124920</v>
      </c>
    </row>
    <row r="123" spans="11:36">
      <c r="K123">
        <v>524288</v>
      </c>
      <c r="L123">
        <v>524288</v>
      </c>
      <c r="M123">
        <v>4</v>
      </c>
      <c r="N123" s="8">
        <v>2147.085</v>
      </c>
      <c r="O123" s="9">
        <f t="shared" si="39"/>
        <v>2.147085</v>
      </c>
      <c r="P123" s="8">
        <v>8884.866</v>
      </c>
      <c r="Q123" s="9">
        <f t="shared" si="40"/>
        <v>8.884866</v>
      </c>
      <c r="R123" s="9">
        <f t="shared" si="41"/>
        <v>11031.951</v>
      </c>
      <c r="S123" s="9">
        <f t="shared" si="42"/>
        <v>11.031951</v>
      </c>
      <c r="T123" s="8">
        <v>27.726</v>
      </c>
      <c r="U123">
        <v>814723709</v>
      </c>
      <c r="V123">
        <v>6953112</v>
      </c>
      <c r="X123">
        <v>11</v>
      </c>
      <c r="Y123">
        <v>524288</v>
      </c>
      <c r="Z123">
        <v>131072</v>
      </c>
      <c r="AA123">
        <v>4</v>
      </c>
      <c r="AB123" s="8">
        <v>1424.691</v>
      </c>
      <c r="AC123">
        <f t="shared" si="35"/>
        <v>1.424691</v>
      </c>
      <c r="AD123" s="8">
        <v>4357.512</v>
      </c>
      <c r="AE123">
        <f t="shared" si="36"/>
        <v>4.357512</v>
      </c>
      <c r="AF123">
        <f t="shared" si="37"/>
        <v>5782.203</v>
      </c>
      <c r="AG123">
        <f t="shared" si="38"/>
        <v>5.782203</v>
      </c>
      <c r="AH123" s="8">
        <v>43.031</v>
      </c>
      <c r="AI123">
        <v>531608045</v>
      </c>
      <c r="AJ123">
        <v>6388696</v>
      </c>
    </row>
    <row r="124" spans="11:36">
      <c r="O124" s="9"/>
      <c r="Q124" s="9"/>
      <c r="R124" s="9"/>
      <c r="S124" s="9"/>
      <c r="X124">
        <v>12</v>
      </c>
      <c r="Y124">
        <v>524288</v>
      </c>
      <c r="Z124">
        <v>262144</v>
      </c>
      <c r="AA124">
        <v>4</v>
      </c>
      <c r="AB124" s="8">
        <v>1424.691</v>
      </c>
      <c r="AC124">
        <f t="shared" si="35"/>
        <v>1.424691</v>
      </c>
      <c r="AD124" s="8">
        <v>5252.694</v>
      </c>
      <c r="AE124">
        <f t="shared" si="36"/>
        <v>5.252694</v>
      </c>
      <c r="AF124">
        <f t="shared" si="37"/>
        <v>6677.385</v>
      </c>
      <c r="AG124">
        <f t="shared" si="38"/>
        <v>6.677385</v>
      </c>
      <c r="AH124" s="8">
        <v>39.589</v>
      </c>
      <c r="AI124">
        <v>625979957</v>
      </c>
      <c r="AJ124">
        <v>6664760</v>
      </c>
    </row>
    <row r="125" spans="11:36">
      <c r="K125" s="8"/>
      <c r="L125" s="8"/>
      <c r="O125" s="9"/>
      <c r="Q125" s="9"/>
      <c r="R125" s="9"/>
      <c r="S125" s="9"/>
      <c r="X125">
        <v>13</v>
      </c>
      <c r="Y125">
        <v>524288</v>
      </c>
      <c r="Z125">
        <v>524288</v>
      </c>
      <c r="AA125">
        <v>4</v>
      </c>
      <c r="AB125" s="8">
        <v>1424.691</v>
      </c>
      <c r="AC125">
        <f t="shared" si="35"/>
        <v>1.424691</v>
      </c>
      <c r="AD125" s="8">
        <v>6908.878</v>
      </c>
      <c r="AE125">
        <f t="shared" si="36"/>
        <v>6.908878</v>
      </c>
      <c r="AF125">
        <f t="shared" si="37"/>
        <v>8333.569</v>
      </c>
      <c r="AG125">
        <f t="shared" si="38"/>
        <v>8.333569</v>
      </c>
      <c r="AH125" s="8">
        <v>34.727</v>
      </c>
      <c r="AI125">
        <v>814723709</v>
      </c>
      <c r="AJ125">
        <v>6953112</v>
      </c>
    </row>
    <row r="126" spans="11:36">
      <c r="K126">
        <v>1048576</v>
      </c>
      <c r="L126">
        <v>64</v>
      </c>
      <c r="M126">
        <v>4</v>
      </c>
      <c r="N126" s="8">
        <v>4455.467</v>
      </c>
      <c r="O126" s="9">
        <f t="shared" si="39"/>
        <v>4.455467</v>
      </c>
      <c r="P126" s="8">
        <v>17106.987</v>
      </c>
      <c r="Q126" s="9">
        <f t="shared" si="40"/>
        <v>17.106987</v>
      </c>
      <c r="R126" s="9">
        <f t="shared" si="41"/>
        <v>21562.454</v>
      </c>
      <c r="S126" s="9">
        <f t="shared" si="42"/>
        <v>21.562454</v>
      </c>
      <c r="T126" s="8">
        <v>23.354</v>
      </c>
      <c r="U126">
        <v>873583933</v>
      </c>
      <c r="V126">
        <v>4465688</v>
      </c>
    </row>
    <row r="127" spans="11:36">
      <c r="K127">
        <v>1048576</v>
      </c>
      <c r="L127">
        <v>128</v>
      </c>
      <c r="M127">
        <v>4</v>
      </c>
      <c r="N127" s="8">
        <v>4455.467</v>
      </c>
      <c r="O127" s="9">
        <f t="shared" si="39"/>
        <v>4.455467</v>
      </c>
      <c r="P127" s="8">
        <v>16982.23</v>
      </c>
      <c r="Q127" s="9">
        <f t="shared" si="40"/>
        <v>16.98223</v>
      </c>
      <c r="R127" s="9">
        <f t="shared" si="41"/>
        <v>21437.697</v>
      </c>
      <c r="S127" s="9">
        <f t="shared" si="42"/>
        <v>21.437697</v>
      </c>
      <c r="T127" s="8">
        <v>24.135</v>
      </c>
      <c r="U127">
        <v>873630085</v>
      </c>
      <c r="V127">
        <v>4606584</v>
      </c>
      <c r="X127" t="s">
        <v>4</v>
      </c>
      <c r="Y127" t="s">
        <v>5</v>
      </c>
      <c r="Z127" t="s">
        <v>6</v>
      </c>
      <c r="AA127" t="s">
        <v>7</v>
      </c>
      <c r="AB127" t="s">
        <v>8</v>
      </c>
      <c r="AC127" t="s">
        <v>9</v>
      </c>
      <c r="AD127" t="s">
        <v>10</v>
      </c>
      <c r="AE127" t="s">
        <v>11</v>
      </c>
      <c r="AF127" t="s">
        <v>12</v>
      </c>
      <c r="AG127" t="s">
        <v>13</v>
      </c>
      <c r="AH127" t="s">
        <v>14</v>
      </c>
      <c r="AI127" t="s">
        <v>15</v>
      </c>
      <c r="AJ127" t="s">
        <v>16</v>
      </c>
    </row>
    <row r="128" spans="11:36">
      <c r="K128">
        <v>1048576</v>
      </c>
      <c r="L128">
        <v>256</v>
      </c>
      <c r="M128">
        <v>4</v>
      </c>
      <c r="N128" s="8">
        <v>4455.467</v>
      </c>
      <c r="O128" s="9">
        <f t="shared" si="39"/>
        <v>4.455467</v>
      </c>
      <c r="P128" s="8">
        <v>17048.207</v>
      </c>
      <c r="Q128" s="9">
        <f t="shared" si="40"/>
        <v>17.048207</v>
      </c>
      <c r="R128" s="9">
        <f t="shared" si="41"/>
        <v>21503.674</v>
      </c>
      <c r="S128" s="9">
        <f t="shared" si="42"/>
        <v>21.503674</v>
      </c>
      <c r="T128" s="8">
        <v>23.807</v>
      </c>
      <c r="U128">
        <v>873722317</v>
      </c>
      <c r="V128">
        <v>4759768</v>
      </c>
      <c r="X128">
        <v>0</v>
      </c>
      <c r="Y128">
        <v>1048576</v>
      </c>
      <c r="Z128">
        <v>64</v>
      </c>
      <c r="AA128">
        <v>4</v>
      </c>
      <c r="AB128" s="8">
        <v>2847.808</v>
      </c>
      <c r="AC128">
        <f t="shared" si="35"/>
        <v>2.847808</v>
      </c>
      <c r="AD128" s="8">
        <v>6609.358</v>
      </c>
      <c r="AE128">
        <f t="shared" si="36"/>
        <v>6.609358</v>
      </c>
      <c r="AF128">
        <f t="shared" si="37"/>
        <v>9457.166</v>
      </c>
      <c r="AG128">
        <f>AC128+AE128</f>
        <v>9.457166</v>
      </c>
      <c r="AH128" s="8">
        <v>24.303</v>
      </c>
      <c r="AI128">
        <v>1678906454</v>
      </c>
      <c r="AJ128">
        <v>4465688</v>
      </c>
    </row>
    <row r="129" spans="11:36">
      <c r="K129">
        <v>1048576</v>
      </c>
      <c r="L129">
        <v>512</v>
      </c>
      <c r="M129">
        <v>4</v>
      </c>
      <c r="N129" s="8">
        <v>4455.467</v>
      </c>
      <c r="O129" s="9">
        <f t="shared" si="39"/>
        <v>4.455467</v>
      </c>
      <c r="P129" s="8">
        <v>17162.331</v>
      </c>
      <c r="Q129" s="9">
        <f t="shared" si="40"/>
        <v>17.162331</v>
      </c>
      <c r="R129" s="9">
        <f t="shared" si="41"/>
        <v>21617.798</v>
      </c>
      <c r="S129" s="9">
        <f t="shared" si="42"/>
        <v>21.617798</v>
      </c>
      <c r="T129" s="8">
        <v>24.312</v>
      </c>
      <c r="U129">
        <v>873906709</v>
      </c>
      <c r="V129">
        <v>4925240</v>
      </c>
      <c r="X129">
        <v>1</v>
      </c>
      <c r="Y129">
        <v>1048576</v>
      </c>
      <c r="Z129">
        <v>128</v>
      </c>
      <c r="AA129">
        <v>4</v>
      </c>
      <c r="AB129" s="8">
        <v>2847.808</v>
      </c>
      <c r="AC129">
        <f t="shared" si="35"/>
        <v>2.847808</v>
      </c>
      <c r="AD129" s="8">
        <v>6635.54</v>
      </c>
      <c r="AE129">
        <f t="shared" si="36"/>
        <v>6.63554</v>
      </c>
      <c r="AF129">
        <f t="shared" si="37"/>
        <v>9483.348</v>
      </c>
      <c r="AG129">
        <f t="shared" si="38"/>
        <v>9.483348</v>
      </c>
      <c r="AH129" s="8">
        <v>24.016</v>
      </c>
      <c r="AI129">
        <v>1678968990</v>
      </c>
      <c r="AJ129">
        <v>4606584</v>
      </c>
    </row>
    <row r="130" spans="11:36">
      <c r="K130">
        <v>1048576</v>
      </c>
      <c r="L130">
        <v>1024</v>
      </c>
      <c r="M130">
        <v>4</v>
      </c>
      <c r="N130" s="8">
        <v>4455.467</v>
      </c>
      <c r="O130" s="9">
        <f t="shared" si="39"/>
        <v>4.455467</v>
      </c>
      <c r="P130" s="8">
        <v>17171.977</v>
      </c>
      <c r="Q130" s="9">
        <f t="shared" si="40"/>
        <v>17.171977</v>
      </c>
      <c r="R130" s="9">
        <f t="shared" si="41"/>
        <v>21627.444</v>
      </c>
      <c r="S130" s="9">
        <f t="shared" si="42"/>
        <v>21.627444</v>
      </c>
      <c r="T130" s="8">
        <v>24.907</v>
      </c>
      <c r="U130">
        <v>874275421</v>
      </c>
      <c r="V130">
        <v>5103000</v>
      </c>
      <c r="X130">
        <v>2</v>
      </c>
      <c r="Y130">
        <v>1048576</v>
      </c>
      <c r="Z130">
        <v>256</v>
      </c>
      <c r="AA130">
        <v>4</v>
      </c>
      <c r="AB130" s="8">
        <v>2847.808</v>
      </c>
      <c r="AC130">
        <f t="shared" si="35"/>
        <v>2.847808</v>
      </c>
      <c r="AD130" s="8">
        <v>6627.43</v>
      </c>
      <c r="AE130">
        <f t="shared" si="36"/>
        <v>6.62743</v>
      </c>
      <c r="AF130">
        <f t="shared" si="37"/>
        <v>9475.238</v>
      </c>
      <c r="AG130">
        <f t="shared" si="38"/>
        <v>9.475238</v>
      </c>
      <c r="AH130" s="8">
        <v>26.056</v>
      </c>
      <c r="AI130">
        <v>1679093990</v>
      </c>
      <c r="AJ130">
        <v>4759768</v>
      </c>
    </row>
    <row r="131" spans="11:36">
      <c r="K131">
        <v>1048576</v>
      </c>
      <c r="L131">
        <v>2048</v>
      </c>
      <c r="M131">
        <v>4</v>
      </c>
      <c r="N131" s="8">
        <v>4455.467</v>
      </c>
      <c r="O131" s="9">
        <f t="shared" si="39"/>
        <v>4.455467</v>
      </c>
      <c r="P131" s="8">
        <v>17062.346</v>
      </c>
      <c r="Q131" s="9">
        <f t="shared" si="40"/>
        <v>17.062346</v>
      </c>
      <c r="R131" s="9">
        <f t="shared" si="41"/>
        <v>21517.813</v>
      </c>
      <c r="S131" s="9">
        <f t="shared" si="42"/>
        <v>21.517813</v>
      </c>
      <c r="T131" s="8">
        <v>25.644</v>
      </c>
      <c r="U131">
        <v>875012773</v>
      </c>
      <c r="V131">
        <v>5293048</v>
      </c>
      <c r="X131">
        <v>3</v>
      </c>
      <c r="Y131">
        <v>1048576</v>
      </c>
      <c r="Z131">
        <v>512</v>
      </c>
      <c r="AA131">
        <v>4</v>
      </c>
      <c r="AB131" s="8">
        <v>2847.808</v>
      </c>
      <c r="AC131">
        <f t="shared" si="35"/>
        <v>2.847808</v>
      </c>
      <c r="AD131" s="8">
        <v>6668.807</v>
      </c>
      <c r="AE131">
        <f t="shared" si="36"/>
        <v>6.668807</v>
      </c>
      <c r="AF131">
        <f t="shared" si="37"/>
        <v>9516.615</v>
      </c>
      <c r="AG131">
        <f t="shared" si="38"/>
        <v>9.516615</v>
      </c>
      <c r="AH131" s="8">
        <v>25.364</v>
      </c>
      <c r="AI131">
        <v>1679343918</v>
      </c>
      <c r="AJ131">
        <v>4925240</v>
      </c>
    </row>
    <row r="132" spans="11:36">
      <c r="K132">
        <v>1048576</v>
      </c>
      <c r="L132">
        <v>4096</v>
      </c>
      <c r="M132">
        <v>4</v>
      </c>
      <c r="N132" s="8">
        <v>4455.467</v>
      </c>
      <c r="O132" s="9">
        <f t="shared" si="39"/>
        <v>4.455467</v>
      </c>
      <c r="P132" s="8">
        <v>17179.415</v>
      </c>
      <c r="Q132" s="9">
        <f t="shared" si="40"/>
        <v>17.179415</v>
      </c>
      <c r="R132" s="9">
        <f t="shared" si="41"/>
        <v>21634.882</v>
      </c>
      <c r="S132" s="9">
        <f t="shared" si="42"/>
        <v>21.634882</v>
      </c>
      <c r="T132" s="8">
        <v>25.642</v>
      </c>
      <c r="U132">
        <v>876487405</v>
      </c>
      <c r="V132">
        <v>5495384</v>
      </c>
      <c r="X132">
        <v>4</v>
      </c>
      <c r="Y132">
        <v>1048576</v>
      </c>
      <c r="Z132">
        <v>1024</v>
      </c>
      <c r="AA132">
        <v>4</v>
      </c>
      <c r="AB132" s="8">
        <v>2847.808</v>
      </c>
      <c r="AC132">
        <f t="shared" si="35"/>
        <v>2.847808</v>
      </c>
      <c r="AD132" s="8">
        <v>6632.447</v>
      </c>
      <c r="AE132">
        <f t="shared" si="36"/>
        <v>6.632447</v>
      </c>
      <c r="AF132">
        <f t="shared" si="37"/>
        <v>9480.255</v>
      </c>
      <c r="AG132">
        <f t="shared" si="38"/>
        <v>9.480255</v>
      </c>
      <c r="AH132" s="8">
        <v>28.054</v>
      </c>
      <c r="AI132">
        <v>1679843702</v>
      </c>
      <c r="AJ132">
        <v>5103000</v>
      </c>
    </row>
    <row r="133" spans="11:36">
      <c r="K133">
        <v>1048576</v>
      </c>
      <c r="L133">
        <v>8192</v>
      </c>
      <c r="M133">
        <v>4</v>
      </c>
      <c r="N133" s="8">
        <v>4455.467</v>
      </c>
      <c r="O133" s="9">
        <f t="shared" si="39"/>
        <v>4.455467</v>
      </c>
      <c r="P133" s="8">
        <v>17173.006</v>
      </c>
      <c r="Q133" s="9">
        <f t="shared" si="40"/>
        <v>17.173006</v>
      </c>
      <c r="R133" s="9">
        <f t="shared" si="41"/>
        <v>21628.473</v>
      </c>
      <c r="S133" s="9">
        <f t="shared" si="42"/>
        <v>21.628473</v>
      </c>
      <c r="T133" s="8">
        <v>25.739</v>
      </c>
      <c r="U133">
        <v>879436597</v>
      </c>
      <c r="V133">
        <v>5710008</v>
      </c>
      <c r="X133">
        <v>5</v>
      </c>
      <c r="Y133">
        <v>1048576</v>
      </c>
      <c r="Z133">
        <v>2048</v>
      </c>
      <c r="AA133">
        <v>4</v>
      </c>
      <c r="AB133" s="8">
        <v>2847.808</v>
      </c>
      <c r="AC133">
        <f t="shared" si="35"/>
        <v>2.847808</v>
      </c>
      <c r="AD133" s="8">
        <v>6622.782</v>
      </c>
      <c r="AE133">
        <f t="shared" si="36"/>
        <v>6.622782</v>
      </c>
      <c r="AF133">
        <f t="shared" si="37"/>
        <v>9470.59</v>
      </c>
      <c r="AG133">
        <f t="shared" si="38"/>
        <v>9.47059</v>
      </c>
      <c r="AH133" s="8">
        <v>28.579</v>
      </c>
      <c r="AI133">
        <v>1680843198</v>
      </c>
      <c r="AJ133">
        <v>5293048</v>
      </c>
    </row>
    <row r="134" spans="11:36">
      <c r="K134">
        <v>1048576</v>
      </c>
      <c r="L134">
        <v>16384</v>
      </c>
      <c r="M134">
        <v>4</v>
      </c>
      <c r="N134" s="8">
        <v>4455.467</v>
      </c>
      <c r="O134" s="9">
        <f t="shared" si="39"/>
        <v>4.455467</v>
      </c>
      <c r="P134" s="8">
        <v>17225.017</v>
      </c>
      <c r="Q134" s="9">
        <f t="shared" si="40"/>
        <v>17.225017</v>
      </c>
      <c r="R134" s="9">
        <f t="shared" si="41"/>
        <v>21680.484</v>
      </c>
      <c r="S134" s="9">
        <f t="shared" si="42"/>
        <v>21.680484</v>
      </c>
      <c r="T134" s="8">
        <v>27.18</v>
      </c>
      <c r="U134">
        <v>885334909</v>
      </c>
      <c r="V134">
        <v>5936920</v>
      </c>
      <c r="X134">
        <v>6</v>
      </c>
      <c r="Y134">
        <v>1048576</v>
      </c>
      <c r="Z134">
        <v>4096</v>
      </c>
      <c r="AA134">
        <v>4</v>
      </c>
      <c r="AB134" s="8">
        <v>2847.808</v>
      </c>
      <c r="AC134">
        <f t="shared" si="35"/>
        <v>2.847808</v>
      </c>
      <c r="AD134" s="8">
        <v>6654.272</v>
      </c>
      <c r="AE134">
        <f t="shared" si="36"/>
        <v>6.654272</v>
      </c>
      <c r="AF134">
        <f t="shared" si="37"/>
        <v>9502.08</v>
      </c>
      <c r="AG134">
        <f t="shared" si="38"/>
        <v>9.50208</v>
      </c>
      <c r="AH134" s="8">
        <v>26.277</v>
      </c>
      <c r="AI134">
        <v>1682842118</v>
      </c>
      <c r="AJ134">
        <v>5495384</v>
      </c>
    </row>
    <row r="135" spans="11:36">
      <c r="K135">
        <v>1048576</v>
      </c>
      <c r="L135">
        <v>32768</v>
      </c>
      <c r="M135">
        <v>4</v>
      </c>
      <c r="N135" s="8">
        <v>4455.467</v>
      </c>
      <c r="O135" s="9">
        <f t="shared" si="39"/>
        <v>4.455467</v>
      </c>
      <c r="P135" s="8">
        <v>18398.926</v>
      </c>
      <c r="Q135" s="9">
        <f t="shared" si="40"/>
        <v>18.398926</v>
      </c>
      <c r="R135" s="9">
        <f t="shared" si="41"/>
        <v>22854.393</v>
      </c>
      <c r="S135" s="9">
        <f t="shared" si="42"/>
        <v>22.854393</v>
      </c>
      <c r="T135" s="8">
        <v>31.137</v>
      </c>
      <c r="U135">
        <v>897131461</v>
      </c>
      <c r="V135">
        <v>6176120</v>
      </c>
      <c r="X135">
        <v>7</v>
      </c>
      <c r="Y135">
        <v>1048576</v>
      </c>
      <c r="Z135">
        <v>8192</v>
      </c>
      <c r="AA135">
        <v>4</v>
      </c>
      <c r="AB135" s="8">
        <v>2847.808</v>
      </c>
      <c r="AC135">
        <f t="shared" si="35"/>
        <v>2.847808</v>
      </c>
      <c r="AD135" s="8">
        <v>6695.538</v>
      </c>
      <c r="AE135">
        <f t="shared" si="36"/>
        <v>6.695538</v>
      </c>
      <c r="AF135">
        <f t="shared" si="37"/>
        <v>9543.346</v>
      </c>
      <c r="AG135">
        <f t="shared" si="38"/>
        <v>9.543346</v>
      </c>
      <c r="AH135" s="8">
        <v>27.31</v>
      </c>
      <c r="AI135">
        <v>1686839886</v>
      </c>
      <c r="AJ135">
        <v>5710008</v>
      </c>
    </row>
    <row r="136" spans="11:36">
      <c r="K136">
        <v>1048576</v>
      </c>
      <c r="L136">
        <v>65536</v>
      </c>
      <c r="M136">
        <v>4</v>
      </c>
      <c r="N136" s="8">
        <v>4455.467</v>
      </c>
      <c r="O136" s="9">
        <f t="shared" si="39"/>
        <v>4.455467</v>
      </c>
      <c r="P136" s="8">
        <v>17974.113</v>
      </c>
      <c r="Q136" s="9">
        <f t="shared" si="40"/>
        <v>17.974113</v>
      </c>
      <c r="R136" s="9">
        <f t="shared" si="41"/>
        <v>22429.58</v>
      </c>
      <c r="S136" s="9">
        <f t="shared" si="42"/>
        <v>22.42958</v>
      </c>
      <c r="T136" s="8">
        <v>30.054</v>
      </c>
      <c r="U136">
        <v>920724493</v>
      </c>
      <c r="V136">
        <v>6427608</v>
      </c>
      <c r="X136">
        <v>8</v>
      </c>
      <c r="Y136">
        <v>1048576</v>
      </c>
      <c r="Z136">
        <v>16384</v>
      </c>
      <c r="AA136">
        <v>4</v>
      </c>
      <c r="AB136" s="8">
        <v>2847.808</v>
      </c>
      <c r="AC136">
        <f t="shared" si="35"/>
        <v>2.847808</v>
      </c>
      <c r="AD136" s="8">
        <v>6739.522</v>
      </c>
      <c r="AE136">
        <f t="shared" si="36"/>
        <v>6.739522</v>
      </c>
      <c r="AF136">
        <f t="shared" si="37"/>
        <v>9587.33</v>
      </c>
      <c r="AG136">
        <f t="shared" si="38"/>
        <v>9.58733</v>
      </c>
      <c r="AH136" s="8">
        <v>30.777</v>
      </c>
      <c r="AI136">
        <v>1694835350</v>
      </c>
      <c r="AJ136">
        <v>5936920</v>
      </c>
    </row>
    <row r="137" spans="11:36">
      <c r="K137">
        <v>1048576</v>
      </c>
      <c r="L137">
        <v>131072</v>
      </c>
      <c r="M137">
        <v>4</v>
      </c>
      <c r="N137" s="8">
        <v>4455.467</v>
      </c>
      <c r="O137" s="9">
        <f t="shared" si="39"/>
        <v>4.455467</v>
      </c>
      <c r="P137" s="8">
        <v>18394.286</v>
      </c>
      <c r="Q137" s="9">
        <f t="shared" si="40"/>
        <v>18.394286</v>
      </c>
      <c r="R137" s="9">
        <f t="shared" si="41"/>
        <v>22849.753</v>
      </c>
      <c r="S137" s="9">
        <f t="shared" si="42"/>
        <v>22.849753</v>
      </c>
      <c r="T137" s="8">
        <v>28.202</v>
      </c>
      <c r="U137">
        <v>967910485</v>
      </c>
      <c r="V137">
        <v>6691384</v>
      </c>
      <c r="X137">
        <v>9</v>
      </c>
      <c r="Y137">
        <v>1048576</v>
      </c>
      <c r="Z137">
        <v>32768</v>
      </c>
      <c r="AA137">
        <v>4</v>
      </c>
      <c r="AB137" s="8">
        <v>2847.808</v>
      </c>
      <c r="AC137">
        <f t="shared" si="35"/>
        <v>2.847808</v>
      </c>
      <c r="AD137" s="8">
        <v>6854.428</v>
      </c>
      <c r="AE137">
        <f t="shared" si="36"/>
        <v>6.854428</v>
      </c>
      <c r="AF137">
        <f t="shared" si="37"/>
        <v>9702.236</v>
      </c>
      <c r="AG137">
        <f t="shared" si="38"/>
        <v>9.702236</v>
      </c>
      <c r="AH137" s="8">
        <v>31.493</v>
      </c>
      <c r="AI137">
        <v>1710826206</v>
      </c>
      <c r="AJ137">
        <v>6176120</v>
      </c>
    </row>
    <row r="138" spans="11:36">
      <c r="K138">
        <v>1048576</v>
      </c>
      <c r="L138">
        <v>262144</v>
      </c>
      <c r="M138">
        <v>4</v>
      </c>
      <c r="N138" s="8">
        <v>4455.467</v>
      </c>
      <c r="O138" s="9">
        <f t="shared" si="39"/>
        <v>4.455467</v>
      </c>
      <c r="P138" s="8">
        <v>18127.928</v>
      </c>
      <c r="Q138" s="9">
        <f t="shared" si="40"/>
        <v>18.127928</v>
      </c>
      <c r="R138" s="9">
        <f t="shared" si="41"/>
        <v>22583.395</v>
      </c>
      <c r="S138" s="9">
        <f t="shared" si="42"/>
        <v>22.583395</v>
      </c>
      <c r="T138" s="8">
        <v>29.476</v>
      </c>
      <c r="U138">
        <v>1062282397</v>
      </c>
      <c r="V138">
        <v>6967448</v>
      </c>
      <c r="X138">
        <v>10</v>
      </c>
      <c r="Y138">
        <v>1048576</v>
      </c>
      <c r="Z138">
        <v>65536</v>
      </c>
      <c r="AA138">
        <v>4</v>
      </c>
      <c r="AB138" s="8">
        <v>2847.808</v>
      </c>
      <c r="AC138">
        <f t="shared" si="35"/>
        <v>2.847808</v>
      </c>
      <c r="AD138" s="8">
        <v>7037.964</v>
      </c>
      <c r="AE138">
        <f t="shared" si="36"/>
        <v>7.037964</v>
      </c>
      <c r="AF138">
        <f t="shared" si="37"/>
        <v>9885.772</v>
      </c>
      <c r="AG138">
        <f t="shared" si="38"/>
        <v>9.885772</v>
      </c>
      <c r="AH138" s="8">
        <v>34.711</v>
      </c>
      <c r="AI138">
        <v>1742807846</v>
      </c>
      <c r="AJ138">
        <v>6427608</v>
      </c>
    </row>
    <row r="139" spans="11:36">
      <c r="K139">
        <v>1048576</v>
      </c>
      <c r="L139">
        <v>524288</v>
      </c>
      <c r="M139">
        <v>4</v>
      </c>
      <c r="N139" s="8">
        <v>4455.467</v>
      </c>
      <c r="O139" s="9">
        <f t="shared" si="39"/>
        <v>4.455467</v>
      </c>
      <c r="P139" s="8">
        <v>18722.302</v>
      </c>
      <c r="Q139" s="9">
        <f t="shared" si="40"/>
        <v>18.722302</v>
      </c>
      <c r="R139" s="9">
        <f t="shared" si="41"/>
        <v>23177.769</v>
      </c>
      <c r="S139" s="9">
        <f t="shared" si="42"/>
        <v>23.177769</v>
      </c>
      <c r="T139" s="8">
        <v>30.444</v>
      </c>
      <c r="U139">
        <v>1251026149</v>
      </c>
      <c r="V139">
        <v>7255800</v>
      </c>
      <c r="X139">
        <v>11</v>
      </c>
      <c r="Y139">
        <v>1048576</v>
      </c>
      <c r="Z139">
        <v>131072</v>
      </c>
      <c r="AA139">
        <v>4</v>
      </c>
      <c r="AB139" s="8">
        <v>2847.808</v>
      </c>
      <c r="AC139">
        <f t="shared" si="35"/>
        <v>2.847808</v>
      </c>
      <c r="AD139" s="8">
        <v>7404.759</v>
      </c>
      <c r="AE139">
        <f t="shared" si="36"/>
        <v>7.404759</v>
      </c>
      <c r="AF139">
        <f t="shared" si="37"/>
        <v>10252.567</v>
      </c>
      <c r="AG139">
        <f t="shared" si="38"/>
        <v>10.252567</v>
      </c>
      <c r="AH139" s="8">
        <v>33.562</v>
      </c>
      <c r="AI139">
        <v>1806771054</v>
      </c>
      <c r="AJ139">
        <v>6691384</v>
      </c>
    </row>
    <row r="140" spans="11:36">
      <c r="K140">
        <v>1048576</v>
      </c>
      <c r="L140">
        <v>1048576</v>
      </c>
      <c r="M140">
        <v>4</v>
      </c>
      <c r="N140" s="8">
        <v>4455.467</v>
      </c>
      <c r="O140" s="9">
        <f t="shared" si="39"/>
        <v>4.455467</v>
      </c>
      <c r="P140" s="8">
        <v>20256.291</v>
      </c>
      <c r="Q140" s="9">
        <f t="shared" si="40"/>
        <v>20.256291</v>
      </c>
      <c r="R140" s="9">
        <f t="shared" si="41"/>
        <v>24711.758</v>
      </c>
      <c r="S140" s="9">
        <f t="shared" si="42"/>
        <v>24.711758</v>
      </c>
      <c r="T140" s="8">
        <v>29.674</v>
      </c>
      <c r="U140">
        <v>1628513581</v>
      </c>
      <c r="V140">
        <v>7556440</v>
      </c>
      <c r="X140">
        <v>12</v>
      </c>
      <c r="Y140">
        <v>1048576</v>
      </c>
      <c r="Z140">
        <v>262144</v>
      </c>
      <c r="AA140">
        <v>4</v>
      </c>
      <c r="AB140" s="8">
        <v>2847.808</v>
      </c>
      <c r="AC140">
        <f t="shared" si="35"/>
        <v>2.847808</v>
      </c>
      <c r="AD140" s="8">
        <v>8128.76</v>
      </c>
      <c r="AE140">
        <f t="shared" si="36"/>
        <v>8.12876</v>
      </c>
      <c r="AF140">
        <f t="shared" si="37"/>
        <v>10976.568</v>
      </c>
      <c r="AG140">
        <f t="shared" si="38"/>
        <v>10.976568</v>
      </c>
      <c r="AH140" s="8">
        <v>32.306</v>
      </c>
      <c r="AI140">
        <v>1934697398</v>
      </c>
      <c r="AJ140">
        <v>6967448</v>
      </c>
    </row>
    <row r="141" spans="11:36">
      <c r="O141" s="9"/>
      <c r="Q141" s="9"/>
      <c r="R141" s="9"/>
      <c r="S141" s="9"/>
      <c r="X141">
        <v>13</v>
      </c>
      <c r="Y141">
        <v>1048576</v>
      </c>
      <c r="Z141">
        <v>524288</v>
      </c>
      <c r="AA141">
        <v>4</v>
      </c>
      <c r="AB141" s="8">
        <v>2847.808</v>
      </c>
      <c r="AC141">
        <f t="shared" si="35"/>
        <v>2.847808</v>
      </c>
      <c r="AD141" s="8">
        <v>9571.891</v>
      </c>
      <c r="AE141">
        <f t="shared" si="36"/>
        <v>9.571891</v>
      </c>
      <c r="AF141">
        <f t="shared" si="37"/>
        <v>12419.699</v>
      </c>
      <c r="AG141">
        <f t="shared" si="38"/>
        <v>12.419699</v>
      </c>
      <c r="AH141" s="8">
        <v>30.527</v>
      </c>
      <c r="AI141">
        <v>2190550014</v>
      </c>
      <c r="AJ141">
        <v>7255800</v>
      </c>
    </row>
    <row r="142" spans="11:36">
      <c r="K142" s="8"/>
      <c r="L142" s="8"/>
      <c r="O142" s="9"/>
      <c r="Q142" s="9"/>
      <c r="R142" s="9"/>
      <c r="S142" s="9"/>
      <c r="X142">
        <v>14</v>
      </c>
      <c r="Y142">
        <v>1048576</v>
      </c>
      <c r="Z142">
        <v>1048576</v>
      </c>
      <c r="AA142">
        <v>4</v>
      </c>
      <c r="AB142" s="8">
        <v>2847.808</v>
      </c>
      <c r="AC142">
        <f t="shared" si="35"/>
        <v>2.847808</v>
      </c>
      <c r="AD142" s="8">
        <v>12462.439</v>
      </c>
      <c r="AE142">
        <f t="shared" si="36"/>
        <v>12.462439</v>
      </c>
      <c r="AF142">
        <f t="shared" si="37"/>
        <v>15310.247</v>
      </c>
      <c r="AG142">
        <f t="shared" si="38"/>
        <v>15.310247</v>
      </c>
      <c r="AH142" s="8">
        <v>31.701</v>
      </c>
      <c r="AI142">
        <v>2702255174</v>
      </c>
      <c r="AJ142">
        <v>7556440</v>
      </c>
    </row>
    <row r="143" spans="11:36">
      <c r="K143">
        <v>2097152</v>
      </c>
      <c r="L143">
        <v>64</v>
      </c>
      <c r="M143">
        <v>4</v>
      </c>
      <c r="N143" s="8">
        <v>9312.364</v>
      </c>
      <c r="O143" s="9">
        <f t="shared" si="39"/>
        <v>9.312364</v>
      </c>
      <c r="P143" s="8">
        <v>32953.386</v>
      </c>
      <c r="Q143" s="9">
        <f t="shared" si="40"/>
        <v>32.953386</v>
      </c>
      <c r="R143" s="9">
        <f t="shared" si="41"/>
        <v>42265.75</v>
      </c>
      <c r="S143" s="9">
        <f t="shared" si="42"/>
        <v>42.26575</v>
      </c>
      <c r="T143" s="8">
        <v>24.073</v>
      </c>
      <c r="U143">
        <v>1746098085</v>
      </c>
      <c r="V143">
        <v>4780664</v>
      </c>
    </row>
    <row r="144" spans="11:36">
      <c r="K144">
        <v>2097152</v>
      </c>
      <c r="L144">
        <v>128</v>
      </c>
      <c r="M144">
        <v>4</v>
      </c>
      <c r="N144" s="8">
        <v>9312.364</v>
      </c>
      <c r="O144" s="9">
        <f t="shared" si="39"/>
        <v>9.312364</v>
      </c>
      <c r="P144" s="8">
        <v>32633.02</v>
      </c>
      <c r="Q144" s="9">
        <f t="shared" si="40"/>
        <v>32.63302</v>
      </c>
      <c r="R144" s="9">
        <f t="shared" si="41"/>
        <v>41945.384</v>
      </c>
      <c r="S144" s="9">
        <f t="shared" si="42"/>
        <v>41.945384</v>
      </c>
      <c r="T144" s="8">
        <v>22.66</v>
      </c>
      <c r="U144">
        <v>1746144237</v>
      </c>
      <c r="V144">
        <v>4921560</v>
      </c>
    </row>
    <row r="145" spans="11:36">
      <c r="K145">
        <v>2097152</v>
      </c>
      <c r="L145">
        <v>256</v>
      </c>
      <c r="M145">
        <v>4</v>
      </c>
      <c r="N145" s="8">
        <v>9312.364</v>
      </c>
      <c r="O145" s="9">
        <f t="shared" si="39"/>
        <v>9.312364</v>
      </c>
      <c r="P145" s="8">
        <v>32565.475</v>
      </c>
      <c r="Q145" s="9">
        <f t="shared" si="40"/>
        <v>32.565475</v>
      </c>
      <c r="R145" s="9">
        <f t="shared" si="41"/>
        <v>41877.839</v>
      </c>
      <c r="S145" s="9">
        <f t="shared" si="42"/>
        <v>41.877839</v>
      </c>
      <c r="T145" s="8">
        <v>22.948</v>
      </c>
      <c r="U145">
        <v>1746236469</v>
      </c>
      <c r="V145">
        <v>5074744</v>
      </c>
      <c r="X145" t="s">
        <v>4</v>
      </c>
      <c r="Y145" t="s">
        <v>5</v>
      </c>
      <c r="Z145" t="s">
        <v>6</v>
      </c>
      <c r="AA145" t="s">
        <v>7</v>
      </c>
      <c r="AB145" t="s">
        <v>8</v>
      </c>
      <c r="AC145" t="s">
        <v>9</v>
      </c>
      <c r="AD145" t="s">
        <v>10</v>
      </c>
      <c r="AE145" t="s">
        <v>11</v>
      </c>
      <c r="AF145" t="s">
        <v>12</v>
      </c>
      <c r="AG145" t="s">
        <v>13</v>
      </c>
      <c r="AH145" t="s">
        <v>14</v>
      </c>
      <c r="AI145" t="s">
        <v>15</v>
      </c>
      <c r="AJ145" t="s">
        <v>16</v>
      </c>
    </row>
    <row r="146" spans="11:36">
      <c r="K146">
        <v>2097152</v>
      </c>
      <c r="L146">
        <v>512</v>
      </c>
      <c r="M146">
        <v>4</v>
      </c>
      <c r="N146" s="8">
        <v>9312.364</v>
      </c>
      <c r="O146" s="9">
        <f t="shared" si="39"/>
        <v>9.312364</v>
      </c>
      <c r="P146" s="8">
        <v>32609.367</v>
      </c>
      <c r="Q146" s="9">
        <f t="shared" si="40"/>
        <v>32.609367</v>
      </c>
      <c r="R146" s="9">
        <f t="shared" si="41"/>
        <v>41921.731</v>
      </c>
      <c r="S146" s="9">
        <f t="shared" si="42"/>
        <v>41.921731</v>
      </c>
      <c r="T146" s="8">
        <v>22.661</v>
      </c>
      <c r="U146">
        <v>1746420861</v>
      </c>
      <c r="V146">
        <v>5240216</v>
      </c>
      <c r="X146">
        <v>0</v>
      </c>
      <c r="Y146">
        <v>2097152</v>
      </c>
      <c r="Z146">
        <v>64</v>
      </c>
      <c r="AA146">
        <v>4</v>
      </c>
      <c r="AB146" s="8">
        <v>5701.621</v>
      </c>
      <c r="AC146">
        <f t="shared" si="35"/>
        <v>5.701621</v>
      </c>
      <c r="AD146" s="8">
        <v>13157.919</v>
      </c>
      <c r="AE146">
        <f t="shared" si="36"/>
        <v>13.157919</v>
      </c>
      <c r="AF146">
        <f t="shared" si="37"/>
        <v>18859.54</v>
      </c>
      <c r="AG146">
        <f t="shared" si="38"/>
        <v>18.85954</v>
      </c>
      <c r="AH146" s="8">
        <v>24.685</v>
      </c>
      <c r="AI146">
        <v>1746098085</v>
      </c>
      <c r="AJ146">
        <v>4780664</v>
      </c>
    </row>
    <row r="147" spans="11:36">
      <c r="K147">
        <v>2097152</v>
      </c>
      <c r="L147">
        <v>1024</v>
      </c>
      <c r="M147">
        <v>4</v>
      </c>
      <c r="N147" s="8">
        <v>9312.364</v>
      </c>
      <c r="O147" s="9">
        <f t="shared" si="39"/>
        <v>9.312364</v>
      </c>
      <c r="P147" s="8">
        <v>32696.39</v>
      </c>
      <c r="Q147" s="9">
        <f t="shared" si="40"/>
        <v>32.69639</v>
      </c>
      <c r="R147" s="9">
        <f t="shared" si="41"/>
        <v>42008.754</v>
      </c>
      <c r="S147" s="9">
        <f t="shared" si="42"/>
        <v>42.008754</v>
      </c>
      <c r="T147" s="8">
        <v>23.647</v>
      </c>
      <c r="U147">
        <v>1746789573</v>
      </c>
      <c r="V147">
        <v>5417976</v>
      </c>
      <c r="X147">
        <v>1</v>
      </c>
      <c r="Y147">
        <v>2097152</v>
      </c>
      <c r="Z147">
        <v>128</v>
      </c>
      <c r="AA147">
        <v>4</v>
      </c>
      <c r="AB147" s="8">
        <v>5701.621</v>
      </c>
      <c r="AC147">
        <f t="shared" si="35"/>
        <v>5.701621</v>
      </c>
      <c r="AD147" s="8">
        <v>13277.965</v>
      </c>
      <c r="AE147">
        <f t="shared" si="36"/>
        <v>13.277965</v>
      </c>
      <c r="AF147">
        <f t="shared" si="37"/>
        <v>18979.586</v>
      </c>
      <c r="AG147">
        <f t="shared" si="38"/>
        <v>18.979586</v>
      </c>
      <c r="AH147" s="8">
        <v>24.957</v>
      </c>
      <c r="AI147">
        <v>1746144237</v>
      </c>
      <c r="AJ147">
        <v>4921560</v>
      </c>
    </row>
    <row r="148" spans="11:36">
      <c r="K148">
        <v>2097152</v>
      </c>
      <c r="L148">
        <v>2048</v>
      </c>
      <c r="M148">
        <v>4</v>
      </c>
      <c r="N148" s="8">
        <v>9312.364</v>
      </c>
      <c r="O148" s="9">
        <f t="shared" si="39"/>
        <v>9.312364</v>
      </c>
      <c r="P148" s="8">
        <v>33015.411</v>
      </c>
      <c r="Q148" s="9">
        <f t="shared" si="40"/>
        <v>33.015411</v>
      </c>
      <c r="R148" s="9">
        <f t="shared" si="41"/>
        <v>42327.775</v>
      </c>
      <c r="S148" s="9">
        <f t="shared" si="42"/>
        <v>42.327775</v>
      </c>
      <c r="T148" s="8">
        <v>27.448</v>
      </c>
      <c r="U148">
        <v>1747526925</v>
      </c>
      <c r="V148">
        <v>5608024</v>
      </c>
      <c r="X148">
        <v>2</v>
      </c>
      <c r="Y148">
        <v>2097152</v>
      </c>
      <c r="Z148">
        <v>256</v>
      </c>
      <c r="AA148">
        <v>4</v>
      </c>
      <c r="AB148" s="8">
        <v>5701.621</v>
      </c>
      <c r="AC148">
        <f t="shared" si="35"/>
        <v>5.701621</v>
      </c>
      <c r="AD148" s="8">
        <v>13234.006</v>
      </c>
      <c r="AE148">
        <f t="shared" si="36"/>
        <v>13.234006</v>
      </c>
      <c r="AF148">
        <f t="shared" si="37"/>
        <v>18935.627</v>
      </c>
      <c r="AG148">
        <f t="shared" si="38"/>
        <v>18.935627</v>
      </c>
      <c r="AH148" s="8">
        <v>27.213</v>
      </c>
      <c r="AI148">
        <v>1746236469</v>
      </c>
      <c r="AJ148">
        <v>5074744</v>
      </c>
    </row>
    <row r="149" spans="11:36">
      <c r="K149">
        <v>2097152</v>
      </c>
      <c r="L149">
        <v>4096</v>
      </c>
      <c r="M149">
        <v>4</v>
      </c>
      <c r="N149" s="8">
        <v>9312.364</v>
      </c>
      <c r="O149" s="9">
        <f t="shared" si="39"/>
        <v>9.312364</v>
      </c>
      <c r="P149" s="8">
        <v>34505.505</v>
      </c>
      <c r="Q149" s="9">
        <f t="shared" si="40"/>
        <v>34.505505</v>
      </c>
      <c r="R149" s="9">
        <f t="shared" si="41"/>
        <v>43817.869</v>
      </c>
      <c r="S149" s="9">
        <f t="shared" si="42"/>
        <v>43.817869</v>
      </c>
      <c r="T149" s="8">
        <v>26.293</v>
      </c>
      <c r="U149">
        <v>1749001557</v>
      </c>
      <c r="V149">
        <v>5810360</v>
      </c>
      <c r="X149">
        <v>3</v>
      </c>
      <c r="Y149">
        <v>2097152</v>
      </c>
      <c r="Z149">
        <v>512</v>
      </c>
      <c r="AA149">
        <v>4</v>
      </c>
      <c r="AB149" s="8">
        <v>5701.621</v>
      </c>
      <c r="AC149">
        <f t="shared" si="35"/>
        <v>5.701621</v>
      </c>
      <c r="AD149" s="8">
        <v>13251.363</v>
      </c>
      <c r="AE149">
        <f t="shared" si="36"/>
        <v>13.251363</v>
      </c>
      <c r="AF149">
        <f t="shared" si="37"/>
        <v>18952.984</v>
      </c>
      <c r="AG149">
        <f t="shared" si="38"/>
        <v>18.952984</v>
      </c>
      <c r="AH149" s="8">
        <v>24.714</v>
      </c>
      <c r="AI149">
        <v>1746420861</v>
      </c>
      <c r="AJ149">
        <v>5240216</v>
      </c>
    </row>
    <row r="150" spans="11:36">
      <c r="K150">
        <v>2097152</v>
      </c>
      <c r="L150">
        <v>8192</v>
      </c>
      <c r="M150">
        <v>4</v>
      </c>
      <c r="N150" s="8">
        <v>9312.364</v>
      </c>
      <c r="O150" s="9">
        <f t="shared" si="39"/>
        <v>9.312364</v>
      </c>
      <c r="P150" s="8">
        <v>33058.008</v>
      </c>
      <c r="Q150" s="9">
        <f t="shared" si="40"/>
        <v>33.058008</v>
      </c>
      <c r="R150" s="9">
        <f t="shared" si="41"/>
        <v>42370.372</v>
      </c>
      <c r="S150" s="9">
        <f t="shared" si="42"/>
        <v>42.370372</v>
      </c>
      <c r="T150" s="8">
        <v>25.664</v>
      </c>
      <c r="U150">
        <v>1751950749</v>
      </c>
      <c r="V150">
        <v>6024984</v>
      </c>
      <c r="X150">
        <v>4</v>
      </c>
      <c r="Y150">
        <v>2097152</v>
      </c>
      <c r="Z150">
        <v>1024</v>
      </c>
      <c r="AA150">
        <v>4</v>
      </c>
      <c r="AB150" s="8">
        <v>5701.621</v>
      </c>
      <c r="AC150">
        <f t="shared" si="35"/>
        <v>5.701621</v>
      </c>
      <c r="AD150" s="8">
        <v>13238.886</v>
      </c>
      <c r="AE150">
        <f t="shared" si="36"/>
        <v>13.238886</v>
      </c>
      <c r="AF150">
        <f t="shared" si="37"/>
        <v>18940.507</v>
      </c>
      <c r="AG150">
        <f t="shared" si="38"/>
        <v>18.940507</v>
      </c>
      <c r="AH150" s="8">
        <v>26.578</v>
      </c>
      <c r="AI150">
        <v>1746789573</v>
      </c>
      <c r="AJ150">
        <v>5417976</v>
      </c>
    </row>
    <row r="151" spans="11:36">
      <c r="K151">
        <v>2097152</v>
      </c>
      <c r="L151">
        <v>16384</v>
      </c>
      <c r="M151">
        <v>4</v>
      </c>
      <c r="N151" s="8">
        <v>9312.364</v>
      </c>
      <c r="O151" s="9">
        <f t="shared" si="39"/>
        <v>9.312364</v>
      </c>
      <c r="P151" s="8">
        <v>34303.26</v>
      </c>
      <c r="Q151" s="9">
        <f t="shared" si="40"/>
        <v>34.30326</v>
      </c>
      <c r="R151" s="9">
        <f t="shared" si="41"/>
        <v>43615.624</v>
      </c>
      <c r="S151" s="9">
        <f t="shared" si="42"/>
        <v>43.615624</v>
      </c>
      <c r="T151" s="8">
        <v>26.551</v>
      </c>
      <c r="U151">
        <v>1757849061</v>
      </c>
      <c r="V151">
        <v>6251896</v>
      </c>
      <c r="X151">
        <v>5</v>
      </c>
      <c r="Y151">
        <v>2097152</v>
      </c>
      <c r="Z151">
        <v>2048</v>
      </c>
      <c r="AA151">
        <v>4</v>
      </c>
      <c r="AB151" s="8">
        <v>5701.621</v>
      </c>
      <c r="AC151">
        <f t="shared" si="35"/>
        <v>5.701621</v>
      </c>
      <c r="AD151" s="8">
        <v>13282.969</v>
      </c>
      <c r="AE151">
        <f t="shared" si="36"/>
        <v>13.282969</v>
      </c>
      <c r="AF151">
        <f t="shared" si="37"/>
        <v>18984.59</v>
      </c>
      <c r="AG151">
        <f t="shared" si="38"/>
        <v>18.98459</v>
      </c>
      <c r="AH151" s="8">
        <v>25.591</v>
      </c>
      <c r="AI151">
        <v>1747526925</v>
      </c>
      <c r="AJ151">
        <v>5608024</v>
      </c>
    </row>
    <row r="152" spans="11:36">
      <c r="K152">
        <v>2097152</v>
      </c>
      <c r="L152">
        <v>32768</v>
      </c>
      <c r="M152">
        <v>4</v>
      </c>
      <c r="N152" s="8">
        <v>9312.364</v>
      </c>
      <c r="O152" s="9">
        <f t="shared" si="39"/>
        <v>9.312364</v>
      </c>
      <c r="P152" s="8">
        <v>34126.256</v>
      </c>
      <c r="Q152" s="9">
        <f t="shared" si="40"/>
        <v>34.126256</v>
      </c>
      <c r="R152" s="9">
        <f t="shared" si="41"/>
        <v>43438.62</v>
      </c>
      <c r="S152" s="9">
        <f t="shared" si="42"/>
        <v>43.43862</v>
      </c>
      <c r="T152" s="8">
        <v>26.202</v>
      </c>
      <c r="U152">
        <v>1769645613</v>
      </c>
      <c r="V152">
        <v>6491096</v>
      </c>
      <c r="X152">
        <v>6</v>
      </c>
      <c r="Y152">
        <v>2097152</v>
      </c>
      <c r="Z152">
        <v>4096</v>
      </c>
      <c r="AA152">
        <v>4</v>
      </c>
      <c r="AB152" s="8">
        <v>5701.621</v>
      </c>
      <c r="AC152">
        <f t="shared" si="35"/>
        <v>5.701621</v>
      </c>
      <c r="AD152" s="8">
        <v>13259.811</v>
      </c>
      <c r="AE152">
        <f t="shared" si="36"/>
        <v>13.259811</v>
      </c>
      <c r="AF152">
        <f t="shared" si="37"/>
        <v>18961.432</v>
      </c>
      <c r="AG152">
        <f t="shared" si="38"/>
        <v>18.961432</v>
      </c>
      <c r="AH152" s="8">
        <v>29.11</v>
      </c>
      <c r="AI152">
        <v>1749001557</v>
      </c>
      <c r="AJ152">
        <v>5810360</v>
      </c>
    </row>
    <row r="153" spans="11:36">
      <c r="K153">
        <v>2097152</v>
      </c>
      <c r="L153">
        <v>65536</v>
      </c>
      <c r="M153">
        <v>4</v>
      </c>
      <c r="N153" s="8">
        <v>9312.364</v>
      </c>
      <c r="O153" s="9">
        <f t="shared" si="39"/>
        <v>9.312364</v>
      </c>
      <c r="P153" s="8">
        <v>33092.026</v>
      </c>
      <c r="Q153" s="9">
        <f t="shared" si="40"/>
        <v>33.092026</v>
      </c>
      <c r="R153" s="9">
        <f t="shared" si="41"/>
        <v>42404.39</v>
      </c>
      <c r="S153" s="9">
        <f t="shared" si="42"/>
        <v>42.40439</v>
      </c>
      <c r="T153" s="8">
        <v>26.093</v>
      </c>
      <c r="U153">
        <v>1793238645</v>
      </c>
      <c r="V153">
        <v>6742584</v>
      </c>
      <c r="X153">
        <v>7</v>
      </c>
      <c r="Y153">
        <v>2097152</v>
      </c>
      <c r="Z153">
        <v>8192</v>
      </c>
      <c r="AA153">
        <v>4</v>
      </c>
      <c r="AB153" s="8">
        <v>5701.621</v>
      </c>
      <c r="AC153">
        <f t="shared" si="35"/>
        <v>5.701621</v>
      </c>
      <c r="AD153" s="8">
        <v>13318.174</v>
      </c>
      <c r="AE153">
        <f t="shared" si="36"/>
        <v>13.318174</v>
      </c>
      <c r="AF153">
        <f t="shared" si="37"/>
        <v>19019.795</v>
      </c>
      <c r="AG153">
        <f t="shared" si="38"/>
        <v>19.019795</v>
      </c>
      <c r="AH153" s="8">
        <v>30.828</v>
      </c>
      <c r="AI153">
        <v>1751950749</v>
      </c>
      <c r="AJ153">
        <v>6024984</v>
      </c>
    </row>
    <row r="154" spans="11:36">
      <c r="K154">
        <v>2097152</v>
      </c>
      <c r="L154">
        <v>131072</v>
      </c>
      <c r="M154">
        <v>4</v>
      </c>
      <c r="N154" s="8">
        <v>9312.364</v>
      </c>
      <c r="O154" s="9">
        <f t="shared" si="39"/>
        <v>9.312364</v>
      </c>
      <c r="P154" s="8">
        <v>33057.862</v>
      </c>
      <c r="Q154" s="9">
        <f t="shared" si="40"/>
        <v>33.057862</v>
      </c>
      <c r="R154" s="9">
        <f t="shared" si="41"/>
        <v>42370.226</v>
      </c>
      <c r="S154" s="9">
        <f t="shared" si="42"/>
        <v>42.370226</v>
      </c>
      <c r="T154" s="8">
        <v>29.924</v>
      </c>
      <c r="U154">
        <v>1840424637</v>
      </c>
      <c r="V154">
        <v>7006360</v>
      </c>
      <c r="X154">
        <v>8</v>
      </c>
      <c r="Y154">
        <v>2097152</v>
      </c>
      <c r="Z154">
        <v>16384</v>
      </c>
      <c r="AA154">
        <v>4</v>
      </c>
      <c r="AB154" s="8">
        <v>5701.621</v>
      </c>
      <c r="AC154">
        <f t="shared" si="35"/>
        <v>5.701621</v>
      </c>
      <c r="AD154" s="8">
        <v>13407.907</v>
      </c>
      <c r="AE154">
        <f t="shared" si="36"/>
        <v>13.407907</v>
      </c>
      <c r="AF154">
        <f t="shared" si="37"/>
        <v>19109.528</v>
      </c>
      <c r="AG154">
        <f t="shared" si="38"/>
        <v>19.109528</v>
      </c>
      <c r="AH154" s="8">
        <v>26.409</v>
      </c>
      <c r="AI154">
        <v>1757849061</v>
      </c>
      <c r="AJ154">
        <v>6251896</v>
      </c>
    </row>
    <row r="155" spans="11:36">
      <c r="K155">
        <v>2097152</v>
      </c>
      <c r="L155">
        <v>262144</v>
      </c>
      <c r="M155">
        <v>4</v>
      </c>
      <c r="N155" s="8">
        <v>9312.364</v>
      </c>
      <c r="O155" s="9">
        <f t="shared" si="39"/>
        <v>9.312364</v>
      </c>
      <c r="P155" s="8">
        <v>34834.664</v>
      </c>
      <c r="Q155" s="9">
        <f t="shared" si="40"/>
        <v>34.834664</v>
      </c>
      <c r="R155" s="9">
        <f t="shared" si="41"/>
        <v>44147.028</v>
      </c>
      <c r="S155" s="9">
        <f t="shared" si="42"/>
        <v>44.147028</v>
      </c>
      <c r="T155" s="8">
        <v>34.559</v>
      </c>
      <c r="U155">
        <v>1934796549</v>
      </c>
      <c r="V155">
        <v>7282424</v>
      </c>
      <c r="X155">
        <v>9</v>
      </c>
      <c r="Y155">
        <v>2097152</v>
      </c>
      <c r="Z155">
        <v>32768</v>
      </c>
      <c r="AA155">
        <v>4</v>
      </c>
      <c r="AB155" s="8">
        <v>5701.621</v>
      </c>
      <c r="AC155">
        <f t="shared" si="35"/>
        <v>5.701621</v>
      </c>
      <c r="AD155" s="8">
        <v>13507.293</v>
      </c>
      <c r="AE155">
        <f t="shared" si="36"/>
        <v>13.507293</v>
      </c>
      <c r="AF155">
        <f t="shared" si="37"/>
        <v>19208.914</v>
      </c>
      <c r="AG155">
        <f t="shared" si="38"/>
        <v>19.208914</v>
      </c>
      <c r="AH155" s="8">
        <v>26.187</v>
      </c>
      <c r="AI155">
        <v>1769645613</v>
      </c>
      <c r="AJ155">
        <v>6491096</v>
      </c>
    </row>
    <row r="156" spans="11:36">
      <c r="K156">
        <v>2097152</v>
      </c>
      <c r="L156">
        <v>524288</v>
      </c>
      <c r="M156">
        <v>4</v>
      </c>
      <c r="N156" s="8">
        <v>9312.364</v>
      </c>
      <c r="O156" s="9">
        <f t="shared" si="39"/>
        <v>9.312364</v>
      </c>
      <c r="P156" s="8">
        <v>36837.345</v>
      </c>
      <c r="Q156" s="9">
        <f t="shared" si="40"/>
        <v>36.837345</v>
      </c>
      <c r="R156" s="9">
        <f t="shared" si="41"/>
        <v>46149.709</v>
      </c>
      <c r="S156" s="9">
        <f t="shared" si="42"/>
        <v>46.149709</v>
      </c>
      <c r="T156" s="8">
        <v>29.522</v>
      </c>
      <c r="U156">
        <v>2123540301</v>
      </c>
      <c r="V156">
        <v>7570776</v>
      </c>
      <c r="X156">
        <v>10</v>
      </c>
      <c r="Y156">
        <v>2097152</v>
      </c>
      <c r="Z156">
        <v>65536</v>
      </c>
      <c r="AA156">
        <v>4</v>
      </c>
      <c r="AB156" s="8">
        <v>5701.621</v>
      </c>
      <c r="AC156">
        <f t="shared" si="35"/>
        <v>5.701621</v>
      </c>
      <c r="AD156" s="8">
        <v>13719.31</v>
      </c>
      <c r="AE156">
        <f t="shared" si="36"/>
        <v>13.71931</v>
      </c>
      <c r="AF156">
        <f t="shared" si="37"/>
        <v>19420.931</v>
      </c>
      <c r="AG156">
        <f t="shared" si="38"/>
        <v>19.420931</v>
      </c>
      <c r="AH156" s="8">
        <v>29.792</v>
      </c>
      <c r="AI156">
        <v>1793238645</v>
      </c>
      <c r="AJ156">
        <v>6742584</v>
      </c>
    </row>
    <row r="157" spans="11:36">
      <c r="K157">
        <v>2097152</v>
      </c>
      <c r="L157">
        <v>1048576</v>
      </c>
      <c r="M157">
        <v>4</v>
      </c>
      <c r="N157" s="8">
        <v>9312.364</v>
      </c>
      <c r="O157" s="9">
        <f t="shared" si="39"/>
        <v>9.312364</v>
      </c>
      <c r="P157" s="8">
        <v>36695.517</v>
      </c>
      <c r="Q157" s="9">
        <f t="shared" si="40"/>
        <v>36.695517</v>
      </c>
      <c r="R157" s="9">
        <f t="shared" si="41"/>
        <v>46007.881</v>
      </c>
      <c r="S157" s="9">
        <f t="shared" si="42"/>
        <v>46.007881</v>
      </c>
      <c r="T157" s="8">
        <v>30.052</v>
      </c>
      <c r="U157">
        <v>2501027733</v>
      </c>
      <c r="V157">
        <v>7871416</v>
      </c>
      <c r="X157">
        <v>11</v>
      </c>
      <c r="Y157">
        <v>2097152</v>
      </c>
      <c r="Z157">
        <v>131072</v>
      </c>
      <c r="AA157">
        <v>4</v>
      </c>
      <c r="AB157" s="8">
        <v>5701.621</v>
      </c>
      <c r="AC157">
        <f t="shared" si="35"/>
        <v>5.701621</v>
      </c>
      <c r="AD157" s="8">
        <v>14100.134</v>
      </c>
      <c r="AE157">
        <f t="shared" si="36"/>
        <v>14.100134</v>
      </c>
      <c r="AF157">
        <f t="shared" si="37"/>
        <v>19801.755</v>
      </c>
      <c r="AG157">
        <f t="shared" si="38"/>
        <v>19.801755</v>
      </c>
      <c r="AH157" s="8">
        <v>28.752</v>
      </c>
      <c r="AI157">
        <v>1840424637</v>
      </c>
      <c r="AJ157">
        <v>7006360</v>
      </c>
    </row>
    <row r="158" spans="11:36">
      <c r="K158">
        <v>2097152</v>
      </c>
      <c r="L158">
        <v>2097152</v>
      </c>
      <c r="M158">
        <v>4</v>
      </c>
      <c r="N158" s="8">
        <v>9312.364</v>
      </c>
      <c r="O158" s="9">
        <f t="shared" si="39"/>
        <v>9.312364</v>
      </c>
      <c r="P158" s="8">
        <v>40286.735</v>
      </c>
      <c r="Q158" s="9">
        <f t="shared" si="40"/>
        <v>40.286735</v>
      </c>
      <c r="R158" s="9">
        <f t="shared" si="41"/>
        <v>49599.099</v>
      </c>
      <c r="S158" s="9">
        <f t="shared" si="42"/>
        <v>49.599099</v>
      </c>
      <c r="T158" s="8">
        <v>30.665</v>
      </c>
      <c r="U158">
        <v>3256002525</v>
      </c>
      <c r="V158">
        <v>8184344</v>
      </c>
      <c r="X158">
        <v>12</v>
      </c>
      <c r="Y158">
        <v>2097152</v>
      </c>
      <c r="Z158">
        <v>262144</v>
      </c>
      <c r="AA158">
        <v>4</v>
      </c>
      <c r="AB158" s="8">
        <v>5701.621</v>
      </c>
      <c r="AC158">
        <f t="shared" si="35"/>
        <v>5.701621</v>
      </c>
      <c r="AD158" s="8">
        <v>14855.105</v>
      </c>
      <c r="AE158">
        <f t="shared" si="36"/>
        <v>14.855105</v>
      </c>
      <c r="AF158">
        <f t="shared" si="37"/>
        <v>20556.726</v>
      </c>
      <c r="AG158">
        <f t="shared" si="38"/>
        <v>20.556726</v>
      </c>
      <c r="AH158" s="8">
        <v>30.109</v>
      </c>
      <c r="AI158">
        <v>1934796549</v>
      </c>
      <c r="AJ158">
        <v>7282424</v>
      </c>
    </row>
    <row r="159" spans="11:36">
      <c r="X159">
        <v>13</v>
      </c>
      <c r="Y159">
        <v>2097152</v>
      </c>
      <c r="Z159">
        <v>524288</v>
      </c>
      <c r="AA159">
        <v>4</v>
      </c>
      <c r="AB159" s="8">
        <v>5701.621</v>
      </c>
      <c r="AC159">
        <f t="shared" si="35"/>
        <v>5.701621</v>
      </c>
      <c r="AD159" s="8">
        <v>16261.314</v>
      </c>
      <c r="AE159">
        <f t="shared" si="36"/>
        <v>16.261314</v>
      </c>
      <c r="AF159">
        <f t="shared" si="37"/>
        <v>21962.935</v>
      </c>
      <c r="AG159">
        <f t="shared" si="38"/>
        <v>21.962935</v>
      </c>
      <c r="AH159" s="8">
        <v>32.644</v>
      </c>
      <c r="AI159">
        <v>2123540301</v>
      </c>
      <c r="AJ159">
        <v>7570776</v>
      </c>
    </row>
    <row r="160" spans="11:36">
      <c r="X160">
        <v>14</v>
      </c>
      <c r="Y160">
        <v>2097152</v>
      </c>
      <c r="Z160">
        <v>1048576</v>
      </c>
      <c r="AA160">
        <v>4</v>
      </c>
      <c r="AB160" s="8">
        <v>5701.621</v>
      </c>
      <c r="AC160">
        <f t="shared" si="35"/>
        <v>5.701621</v>
      </c>
      <c r="AD160" s="8">
        <v>19243.313</v>
      </c>
      <c r="AE160">
        <f t="shared" si="36"/>
        <v>19.243313</v>
      </c>
      <c r="AF160">
        <f t="shared" si="37"/>
        <v>24944.934</v>
      </c>
      <c r="AG160">
        <f t="shared" si="38"/>
        <v>24.944934</v>
      </c>
      <c r="AH160" s="8">
        <v>33.538</v>
      </c>
      <c r="AI160">
        <v>2501027733</v>
      </c>
      <c r="AJ160">
        <v>7871416</v>
      </c>
    </row>
    <row r="161" spans="24:36">
      <c r="X161">
        <v>15</v>
      </c>
      <c r="Y161">
        <v>2097152</v>
      </c>
      <c r="Z161">
        <v>2097152</v>
      </c>
      <c r="AA161">
        <v>4</v>
      </c>
      <c r="AB161" s="8">
        <v>5701.621</v>
      </c>
      <c r="AC161">
        <f t="shared" si="35"/>
        <v>5.701621</v>
      </c>
      <c r="AD161" s="8">
        <v>25091.203</v>
      </c>
      <c r="AE161">
        <f t="shared" si="36"/>
        <v>25.091203</v>
      </c>
      <c r="AF161">
        <f t="shared" si="37"/>
        <v>30792.824</v>
      </c>
      <c r="AG161">
        <f t="shared" si="38"/>
        <v>30.792824</v>
      </c>
      <c r="AH161" s="8">
        <v>35.076</v>
      </c>
      <c r="AI161">
        <v>3256002525</v>
      </c>
      <c r="AJ161">
        <v>8184344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ljx</dc:creator>
  <cp:lastModifiedBy>一画律师</cp:lastModifiedBy>
  <dcterms:created xsi:type="dcterms:W3CDTF">2026-05-25T14:18:00Z</dcterms:created>
  <dcterms:modified xsi:type="dcterms:W3CDTF">2026-09-16T14:29:17Z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E542272CFDA54E6980BF37DFF045C994_13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